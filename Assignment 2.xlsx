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W Skills Data Analysis\2nd\Second Assignment\"/>
    </mc:Choice>
  </mc:AlternateContent>
  <xr:revisionPtr revIDLastSave="0" documentId="13_ncr:1_{AC65E79B-5132-4FF4-A11B-9863AE343047}" xr6:coauthVersionLast="47" xr6:coauthVersionMax="47" xr10:uidLastSave="{00000000-0000-0000-0000-000000000000}"/>
  <bookViews>
    <workbookView xWindow="-108" yWindow="-108" windowWidth="23256" windowHeight="12576" activeTab="7" xr2:uid="{CD3C5A18-F892-490F-BC44-D3F36467132E}"/>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8" l="1"/>
  <c r="B17" i="8"/>
  <c r="F6" i="8"/>
  <c r="F5" i="8"/>
  <c r="D29" i="7"/>
  <c r="D30" i="7"/>
  <c r="D28" i="7"/>
  <c r="C22" i="7"/>
  <c r="D17" i="7"/>
  <c r="F11" i="7"/>
  <c r="E6" i="7"/>
  <c r="C26" i="6"/>
  <c r="C21" i="6"/>
  <c r="D17" i="6"/>
  <c r="D12" i="6"/>
  <c r="D7" i="6"/>
  <c r="B5" i="4"/>
</calcChain>
</file>

<file path=xl/sharedStrings.xml><?xml version="1.0" encoding="utf-8"?>
<sst xmlns="http://schemas.openxmlformats.org/spreadsheetml/2006/main" count="196" uniqueCount="134">
  <si>
    <t>How would you sort the following dataset first by "Department" (A-Z) and then by "Salary" (Largest to Smallest)? Write a step-by-step approach.</t>
  </si>
  <si>
    <t>Employee</t>
  </si>
  <si>
    <t>Department</t>
  </si>
  <si>
    <t>Salary</t>
  </si>
  <si>
    <t>Pranav</t>
  </si>
  <si>
    <t>HR</t>
  </si>
  <si>
    <t>Sonu</t>
  </si>
  <si>
    <t>IT</t>
  </si>
  <si>
    <t>Rahul</t>
  </si>
  <si>
    <t>Explain the use of text functions such as TRIM , LEFT, RIGHT, MID, and CONCAT in data cleaning.?</t>
  </si>
  <si>
    <t xml:space="preserve">solution- </t>
  </si>
  <si>
    <t>What is the role of date functions like TODAY in managing datasets?</t>
  </si>
  <si>
    <t>Quantity</t>
  </si>
  <si>
    <t>Headphones</t>
  </si>
  <si>
    <t>Jane Smith</t>
  </si>
  <si>
    <t>Shoes</t>
  </si>
  <si>
    <t>Electronics</t>
  </si>
  <si>
    <t>Isabella Moore</t>
  </si>
  <si>
    <t>Laptop</t>
  </si>
  <si>
    <t>Sofa</t>
  </si>
  <si>
    <t>Alex Moore</t>
  </si>
  <si>
    <t>Michael Johnson</t>
  </si>
  <si>
    <t>Table Lamp</t>
  </si>
  <si>
    <t>Daniel Johnson</t>
  </si>
  <si>
    <t>Isabella Davis</t>
  </si>
  <si>
    <t>Alex Wilson</t>
  </si>
  <si>
    <t>Understand and apply fundamental text functions like LEFT, RIGHT, MID, and LEN</t>
  </si>
  <si>
    <t>Extract the first 5 characters from the string "ExcelTipsAreGreat" using the LEFT function</t>
  </si>
  <si>
    <t>SOLUTION-</t>
  </si>
  <si>
    <t>ExcelTipsAreGreat</t>
  </si>
  <si>
    <t>Extract the last 4 characters from "DataAnalysis.xlsx" using the RIGHT function.</t>
  </si>
  <si>
    <t xml:space="preserve">SOLUTION- </t>
  </si>
  <si>
    <t>DataAnalysis.xlsx</t>
  </si>
  <si>
    <t>Extract the substring "Tips" from "ExcelTipsAreGreat" using the MID function.</t>
  </si>
  <si>
    <t>Count the total number of characters in the string "Hello World!" using the LEN function.</t>
  </si>
  <si>
    <t>Hello World!</t>
  </si>
  <si>
    <t>12345-67890-ABCDE</t>
  </si>
  <si>
    <t>Create a formula to extract the middle 6 characters from "12345-67890-ABCDE"</t>
  </si>
  <si>
    <t>Understand how to combine text using CONCAT, TEXTJOIN, and the &amp; operator.</t>
  </si>
  <si>
    <t>Use CONCAT to combine "Hello" and "World" with a space in between.</t>
  </si>
  <si>
    <t>HELLO</t>
  </si>
  <si>
    <t>WORLD</t>
  </si>
  <si>
    <t>Combine "Apple", "Banana", and "Cherry" into a single string separated by commas using TEXTJOIN.</t>
  </si>
  <si>
    <t>APPLE</t>
  </si>
  <si>
    <t>BANANA</t>
  </si>
  <si>
    <t>CHERRY</t>
  </si>
  <si>
    <t>Use the &amp; operator to create the string "2025: Excel Functions" by combining "2025", ": ", and "Excel Functions</t>
  </si>
  <si>
    <t>Create a comma-separated list from the range A1:A5 using TEXTJOIN</t>
  </si>
  <si>
    <t>A1:A5</t>
  </si>
  <si>
    <t>A</t>
  </si>
  <si>
    <t>B</t>
  </si>
  <si>
    <t>C</t>
  </si>
  <si>
    <t>D</t>
  </si>
  <si>
    <t>E</t>
  </si>
  <si>
    <t>Combine first names in column A with last names in column B to create full names in column C</t>
  </si>
  <si>
    <t>COLUMN A</t>
  </si>
  <si>
    <t>COLUMN B</t>
  </si>
  <si>
    <t>SALMAN</t>
  </si>
  <si>
    <t>KHAN</t>
  </si>
  <si>
    <t xml:space="preserve">HRITIK </t>
  </si>
  <si>
    <t>ROSHAN</t>
  </si>
  <si>
    <t>MS</t>
  </si>
  <si>
    <t>DHONI</t>
  </si>
  <si>
    <t>COLUMN C</t>
  </si>
  <si>
    <t>Understanding TODAY() and NOW()</t>
  </si>
  <si>
    <t xml:space="preserve"> What is the difference between TODAY() and NOW() in Excel? Provide an example of when you would use  each function.</t>
  </si>
  <si>
    <t>TODAY-</t>
  </si>
  <si>
    <t>IT PROVIDE TODAY'S DATE</t>
  </si>
  <si>
    <t>NOW-</t>
  </si>
  <si>
    <t>IT PROVIDE TODAY'S DATE AND TIME</t>
  </si>
  <si>
    <t xml:space="preserve"> If cell A1 contains the date 2025-06-10, write a formula using TODAY() to determine how many days are left until that date</t>
  </si>
  <si>
    <t xml:space="preserve">Write an Excel formula using NOW() to display the current date and time in the format MM/DD/YYYY HH:MM AM/PM. </t>
  </si>
  <si>
    <t>. If a cell contains =TODAY(), what will happen when the worksheet is reopened the next day? Explain</t>
  </si>
  <si>
    <t>Today: 2025-06-10 → cell shows 2025-06-10</t>
  </si>
  <si>
    <t>Tomorrow you reopen the file: cell shows 2025-06-11</t>
  </si>
  <si>
    <t>Because =TODAY() is a dynamic function, it refreshes every time the worksheet is opened or recalculated.</t>
  </si>
  <si>
    <t xml:space="preserve"> You want to store a static date (today’s date) in a cell without it changing every day. What keyboard shortcut should you use?</t>
  </si>
  <si>
    <t>Ctrl + ;</t>
  </si>
  <si>
    <t>The TRIM Function:
The TRIM() function in Excel removes all extra spaces from a text string, leaving only single spaces between words and no spaces at the beginning or end.                                                        SYNTAX  =TRIM()</t>
  </si>
  <si>
    <t>The LEFT Function :
The LEFT() function in Excel is used to extract a specific number of characters from the beginning (left side) of a text string.                                                                                                                                                               SYNTAX =LEFT(text, [num_chars])</t>
  </si>
  <si>
    <t>The RIGHT Function:
The RIGHT() function in Excel is used to extract a specific number of characters from the end (right side) of a text string.
It’s basically the opposite of the LEFT() function.                                                                                                                                             SYNTAX  =RIGHT(text, [num_chars])</t>
  </si>
  <si>
    <t>The MID Function:
The MID() function extracts a specific number of characters from the middle of a text string — starting at a position you choose.                                                                                                                                                                           SYNTAX =MID(text, start_num, num_chars)</t>
  </si>
  <si>
    <t>The CONCAT Function:
The CONCAT() function in Excel joins (combines) text from two or more cells or strings into one single cell.
It’s commonly used to merge names, addresses, product codes, or other separated pieces of data.                                                                                                                                             SYNTAX =CONCAT(text1, [text2], …)</t>
  </si>
  <si>
    <t>Select the whole table (including headers).
Data → Sort.
Add Level 1: Sort by = Department, Sort On = Values, Order = A to Z.
Add Level 2: Then by = Salary, Sort On = Values, Order = Largest to Smallest.
Click OK</t>
  </si>
  <si>
    <t xml:space="preserve"> Department</t>
  </si>
  <si>
    <t xml:space="preserve"> Salary</t>
  </si>
  <si>
    <t>Solution:</t>
  </si>
  <si>
    <t>What is Data Cleaning, and Why is it Important in Data Analysis?</t>
  </si>
  <si>
    <r>
      <t>Data cleaning</t>
    </r>
    <r>
      <rPr>
        <sz val="11"/>
        <color theme="1"/>
        <rFont val="Calibri"/>
        <family val="2"/>
        <scheme val="minor"/>
      </rPr>
      <t xml:space="preserve"> is the process of identifying and correcting errors, inconsistencies, and inaccuracies in raw data to improve its quality. It is one of the most critical steps in the data analysis process because the accuracy of insights and conclusions depends directly on the quality of the data used.</t>
    </r>
  </si>
  <si>
    <t>Importance of data cleaning:</t>
  </si>
  <si>
    <r>
      <t>Reduces Risk and Cost:</t>
    </r>
    <r>
      <rPr>
        <sz val="11"/>
        <color theme="1"/>
        <rFont val="Calibri"/>
        <family val="2"/>
        <scheme val="minor"/>
      </rPr>
      <t xml:space="preserve"> Prevents costly mistakes caused by incorrect data.</t>
    </r>
  </si>
  <si>
    <r>
      <t>Boosts Credibility:</t>
    </r>
    <r>
      <rPr>
        <sz val="11"/>
        <color theme="1"/>
        <rFont val="Calibri"/>
        <family val="2"/>
        <scheme val="minor"/>
      </rPr>
      <t xml:space="preserve"> Ensures analysis results are reliable and trustworthy.</t>
    </r>
  </si>
  <si>
    <r>
      <t>Increases Efficiency:</t>
    </r>
    <r>
      <rPr>
        <sz val="11"/>
        <color theme="1"/>
        <rFont val="Calibri"/>
        <family val="2"/>
        <scheme val="minor"/>
      </rPr>
      <t xml:space="preserve"> Saves time by reducing errors and rework during analysis.</t>
    </r>
  </si>
  <si>
    <r>
      <t>Enhances Decision-Making:</t>
    </r>
    <r>
      <rPr>
        <sz val="11"/>
        <color theme="1"/>
        <rFont val="Calibri"/>
        <family val="2"/>
        <scheme val="minor"/>
      </rPr>
      <t xml:space="preserve"> Leads to better, data-driven business and strategic decisions.</t>
    </r>
  </si>
  <si>
    <t>What Are the Potential Consequences of Analyzing Unclean or Messy Data?</t>
  </si>
  <si>
    <r>
      <t xml:space="preserve">Analyzing unclean data leads to serious problems because </t>
    </r>
    <r>
      <rPr>
        <i/>
        <sz val="11"/>
        <color theme="1"/>
        <rFont val="Calibri"/>
        <family val="2"/>
        <scheme val="minor"/>
      </rPr>
      <t>“garbage in results in garbage out.”</t>
    </r>
    <r>
      <rPr>
        <sz val="11"/>
        <color theme="1"/>
        <rFont val="Calibri"/>
        <family val="2"/>
        <scheme val="minor"/>
      </rPr>
      <t xml:space="preserve"> The major consequences include:</t>
    </r>
  </si>
  <si>
    <r>
      <t>Bad Decisions:</t>
    </r>
    <r>
      <rPr>
        <sz val="11"/>
        <color theme="1"/>
        <rFont val="Calibri"/>
        <family val="2"/>
        <scheme val="minor"/>
      </rPr>
      <t xml:space="preserve"> Incorrect strategic choices based on faulty insights.</t>
    </r>
  </si>
  <si>
    <r>
      <t>Legal Trouble:</t>
    </r>
    <r>
      <rPr>
        <sz val="11"/>
        <color theme="1"/>
        <rFont val="Calibri"/>
        <family val="2"/>
        <scheme val="minor"/>
      </rPr>
      <t xml:space="preserve"> Risk of non-compliance with data protection regulations and possible fines.</t>
    </r>
  </si>
  <si>
    <r>
      <t>Damaged Reputation:</t>
    </r>
    <r>
      <rPr>
        <sz val="11"/>
        <color theme="1"/>
        <rFont val="Calibri"/>
        <family val="2"/>
        <scheme val="minor"/>
      </rPr>
      <t xml:space="preserve"> Loss of customer trust due to inaccurate or misleading information.</t>
    </r>
  </si>
  <si>
    <r>
      <t>Operational Errors:</t>
    </r>
    <r>
      <rPr>
        <sz val="11"/>
        <color theme="1"/>
        <rFont val="Calibri"/>
        <family val="2"/>
        <scheme val="minor"/>
      </rPr>
      <t xml:space="preserve"> Workflow disruptions and wasted time fixing preventable issues.</t>
    </r>
  </si>
  <si>
    <r>
      <t>Wasted Money:</t>
    </r>
    <r>
      <rPr>
        <sz val="11"/>
        <color theme="1"/>
        <rFont val="Calibri"/>
        <family val="2"/>
        <scheme val="minor"/>
      </rPr>
      <t xml:space="preserve"> Financial losses from inefficiencies, errors, and poor targeting.</t>
    </r>
  </si>
  <si>
    <t>Explain the Common Steps Involved in Cleaning and Organizing Data</t>
  </si>
  <si>
    <r>
      <t xml:space="preserve">The common steps involved in data cleaning and organization (also known as </t>
    </r>
    <r>
      <rPr>
        <b/>
        <sz val="11"/>
        <color theme="1"/>
        <rFont val="Calibri"/>
        <family val="2"/>
        <scheme val="minor"/>
      </rPr>
      <t>data preprocessing</t>
    </r>
    <r>
      <rPr>
        <sz val="11"/>
        <color theme="1"/>
        <rFont val="Calibri"/>
        <family val="2"/>
        <scheme val="minor"/>
      </rPr>
      <t>) are:</t>
    </r>
  </si>
  <si>
    <t>1. Assessment and Profiling</t>
  </si>
  <si>
    <t>Identify issues such as missing values, incorrect data types, and inconsistent formats.</t>
  </si>
  <si>
    <t>2. Handling Missing Values</t>
  </si>
  <si>
    <r>
      <t>Imputation:</t>
    </r>
    <r>
      <rPr>
        <sz val="11"/>
        <color theme="1"/>
        <rFont val="Calibri"/>
        <family val="2"/>
        <scheme val="minor"/>
      </rPr>
      <t xml:space="preserve"> Fill missing values using methods like mean, median, or mode.</t>
    </r>
  </si>
  <si>
    <r>
      <t>Deletion:</t>
    </r>
    <r>
      <rPr>
        <sz val="11"/>
        <color theme="1"/>
        <rFont val="Calibri"/>
        <family val="2"/>
        <scheme val="minor"/>
      </rPr>
      <t xml:space="preserve"> Remove rows or columns if missing data is minimal or the column is mostly empty.</t>
    </r>
  </si>
  <si>
    <t>3. Standardization and Correction</t>
  </si>
  <si>
    <t>Fix structural errors (e.g., “NY” vs “New York”).</t>
  </si>
  <si>
    <t>Remove duplicate records.</t>
  </si>
  <si>
    <t>Convert data types to the correct format (e.g., text to numeric).</t>
  </si>
  <si>
    <t>4. Handling Outliers</t>
  </si>
  <si>
    <t>Identify extreme values and decide whether to remove them (if errors) or transform them (if meaningful).</t>
  </si>
  <si>
    <t>5. Transformation and Validation</t>
  </si>
  <si>
    <r>
      <t>Encoding:</t>
    </r>
    <r>
      <rPr>
        <sz val="11"/>
        <color theme="1"/>
        <rFont val="Calibri"/>
        <family val="2"/>
        <scheme val="minor"/>
      </rPr>
      <t xml:space="preserve"> Convert categorical text data into numerical form (e.g., One-Hot Encoding).</t>
    </r>
  </si>
  <si>
    <r>
      <t>Scaling/Normalization:</t>
    </r>
    <r>
      <rPr>
        <sz val="11"/>
        <color theme="1"/>
        <rFont val="Calibri"/>
        <family val="2"/>
        <scheme val="minor"/>
      </rPr>
      <t xml:space="preserve"> Adjust numerical values to a standard range.</t>
    </r>
  </si>
  <si>
    <r>
      <t>Validation:</t>
    </r>
    <r>
      <rPr>
        <sz val="11"/>
        <color theme="1"/>
        <rFont val="Calibri"/>
        <family val="2"/>
        <scheme val="minor"/>
      </rPr>
      <t xml:space="preserve"> Perform a final quality check before analysis.</t>
    </r>
  </si>
  <si>
    <t>It provide today's date. Data functions such as TODAY() play an important role in managing, cleaning, and analyzing datasets by automatically working with current dates. They help keep data dynamic, accurate, and time-relevant.</t>
  </si>
  <si>
    <t>(SYNTAX(=TODAY))</t>
  </si>
  <si>
    <t xml:space="preserve"> Customer Name</t>
  </si>
  <si>
    <t xml:space="preserve">Product Name
 </t>
  </si>
  <si>
    <t xml:space="preserve"> Category</t>
  </si>
  <si>
    <t xml:space="preserve"> Unit Price ($)</t>
  </si>
  <si>
    <t xml:space="preserve"> Electronics</t>
  </si>
  <si>
    <t xml:space="preserve"> Daniel Davis</t>
  </si>
  <si>
    <t xml:space="preserve"> Clothing</t>
  </si>
  <si>
    <t>Home Décor</t>
  </si>
  <si>
    <t>BackpacK</t>
  </si>
  <si>
    <t xml:space="preserve"> Jane Davis</t>
  </si>
  <si>
    <t xml:space="preserve"> T-shirt</t>
  </si>
  <si>
    <t>Sol:</t>
  </si>
  <si>
    <t>The step-by-step procedure:                                                                                                                        1.Select the cells under the Quantity column where you want to apply validation.
2.Go to the Data tab on the Ribbon.
3.Click Data Validation → Data Validation…
4.In the Settings tab:
    Set Allow to Whole number.
    Set Data to between.
    Enter Minimum = 1 and Maximum = 10.
5.In the Input Message tab:
   Check Show input message when cell is selected.
   Enter the message:
     “Please enter a whole number between 1 and 10.”
6.In the Error Alert tab:
   Set Style to Stop.
   Title: “Invalid input!”
   Error message:
    “The quantity must be a whole number between 1 and 10.”
7.Click OK to apply the settings.
8.Test the rule by trying to enter values below 1 or above 10.</t>
  </si>
  <si>
    <t xml:space="preserve"> Q.5 Apply Data Validation to restrict Quantity values to only whole numbers between 1 and 10.
 A).Configure an input message that appears when a user selects a cell in the "Quantity" column explaining:
 "Please enter a whole number between 1 and 10."                                                                                                                                                                                                                               
                                                                                                                                                                                                                                                                                 B).Set up an error alert message that triggers if the user enters a number less than 1 or greater than 10, 
showing:
 "Invalid input! The quantity must be a whole number between 1 and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</si>
</sst>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b/>
      <sz val="11"/>
      <color theme="1"/>
      <name val="Calibri"/>
      <family val="2"/>
      <scheme val="minor"/>
    </font>
    <font>
      <b/>
      <sz val="10"/>
      <color theme="1"/>
      <name val="Arial"/>
      <family val="2"/>
    </font>
    <font>
      <sz val="11"/>
      <color theme="1"/>
      <name val="Arial"/>
      <family val="2"/>
    </font>
    <font>
      <b/>
      <sz val="11"/>
      <color theme="1"/>
      <name val="Arial"/>
      <family val="2"/>
    </font>
    <font>
      <b/>
      <sz val="13.5"/>
      <color theme="1"/>
      <name val="Arial"/>
      <family val="2"/>
    </font>
    <font>
      <i/>
      <sz val="11"/>
      <color theme="1"/>
      <name val="Arial"/>
      <family val="2"/>
    </font>
    <font>
      <sz val="12"/>
      <color theme="1"/>
      <name val="Calibri"/>
      <family val="2"/>
      <scheme val="minor"/>
    </font>
    <font>
      <i/>
      <sz val="11"/>
      <color theme="1"/>
      <name val="Calibri"/>
      <family val="2"/>
      <scheme val="minor"/>
    </font>
    <font>
      <b/>
      <sz val="13.5"/>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2" fillId="0" borderId="0" xfId="0" applyFont="1"/>
    <xf numFmtId="0" fontId="0" fillId="0" borderId="0" xfId="0" applyAlignment="1">
      <alignment horizontal="left" vertical="center" indent="1"/>
    </xf>
    <xf numFmtId="0" fontId="1" fillId="0" borderId="0" xfId="0" applyFont="1"/>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horizontal="left" vertical="center" indent="1"/>
    </xf>
    <xf numFmtId="0" fontId="4" fillId="0" borderId="1" xfId="0" applyFont="1" applyBorder="1" applyAlignment="1">
      <alignment vertical="center" wrapText="1"/>
    </xf>
    <xf numFmtId="0" fontId="3" fillId="0" borderId="1" xfId="0" applyFont="1" applyBorder="1" applyAlignment="1">
      <alignment vertical="center" wrapText="1"/>
    </xf>
    <xf numFmtId="0" fontId="6" fillId="0" borderId="0" xfId="0" applyFont="1" applyAlignment="1">
      <alignment horizontal="left" vertical="center" indent="1"/>
    </xf>
    <xf numFmtId="0" fontId="4" fillId="0" borderId="0" xfId="0" applyFont="1" applyAlignment="1">
      <alignment vertical="center"/>
    </xf>
    <xf numFmtId="0" fontId="3" fillId="0" borderId="0" xfId="0" applyFont="1" applyAlignment="1">
      <alignment wrapText="1"/>
    </xf>
    <xf numFmtId="14" fontId="0" fillId="0" borderId="0" xfId="0" applyNumberFormat="1"/>
    <xf numFmtId="22" fontId="0" fillId="0" borderId="0" xfId="0" applyNumberFormat="1"/>
    <xf numFmtId="164" fontId="0" fillId="0" borderId="0" xfId="0" applyNumberFormat="1"/>
    <xf numFmtId="2" fontId="0" fillId="0" borderId="0" xfId="0" applyNumberFormat="1"/>
    <xf numFmtId="0" fontId="0" fillId="0" borderId="0" xfId="0" applyAlignment="1">
      <alignment wrapText="1"/>
    </xf>
    <xf numFmtId="0" fontId="3" fillId="0" borderId="0" xfId="0" applyFont="1" applyAlignment="1">
      <alignment vertical="center" wrapText="1"/>
    </xf>
    <xf numFmtId="0" fontId="7" fillId="2" borderId="2" xfId="0" applyFont="1" applyFill="1" applyBorder="1"/>
    <xf numFmtId="0" fontId="1" fillId="0" borderId="0" xfId="0" applyFont="1" applyAlignment="1">
      <alignment horizontal="left" vertical="center" indent="1"/>
    </xf>
    <xf numFmtId="0" fontId="9" fillId="0" borderId="0" xfId="0" applyFont="1" applyAlignment="1">
      <alignment vertical="center"/>
    </xf>
    <xf numFmtId="0" fontId="7" fillId="2" borderId="0" xfId="0" applyFont="1" applyFill="1" applyAlignment="1">
      <alignment horizontal="left" vertical="top" wrapText="1"/>
    </xf>
    <xf numFmtId="0" fontId="7" fillId="2" borderId="0" xfId="0" applyFont="1" applyFill="1" applyAlignment="1">
      <alignment horizontal="left" vertical="top"/>
    </xf>
    <xf numFmtId="0" fontId="0" fillId="2" borderId="0" xfId="0" applyFill="1"/>
    <xf numFmtId="0" fontId="10" fillId="2" borderId="2" xfId="0" applyFont="1" applyFill="1" applyBorder="1" applyAlignment="1">
      <alignment horizontal="center"/>
    </xf>
    <xf numFmtId="0" fontId="7" fillId="2" borderId="2" xfId="0" applyFont="1" applyFill="1" applyBorder="1" applyAlignment="1">
      <alignment horizontal="center"/>
    </xf>
    <xf numFmtId="0" fontId="7" fillId="2" borderId="0" xfId="0" applyFont="1" applyFill="1"/>
    <xf numFmtId="0" fontId="0" fillId="2" borderId="0" xfId="0" applyFill="1" applyAlignment="1">
      <alignment horizontal="left" vertical="top"/>
    </xf>
    <xf numFmtId="0" fontId="7"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96735-E311-4EF0-80F8-A64309F289AD}">
  <dimension ref="A1:B67"/>
  <sheetViews>
    <sheetView topLeftCell="A50" zoomScale="103" zoomScaleNormal="150" workbookViewId="0">
      <selection activeCell="A35" sqref="A35"/>
    </sheetView>
  </sheetViews>
  <sheetFormatPr defaultRowHeight="14.4" x14ac:dyDescent="0.3"/>
  <sheetData>
    <row r="1" spans="1:2" x14ac:dyDescent="0.3">
      <c r="A1" s="3"/>
    </row>
    <row r="3" spans="1:2" x14ac:dyDescent="0.3">
      <c r="A3" s="3" t="s">
        <v>87</v>
      </c>
    </row>
    <row r="5" spans="1:2" x14ac:dyDescent="0.3">
      <c r="A5" s="3" t="s">
        <v>88</v>
      </c>
      <c r="B5" s="1"/>
    </row>
    <row r="6" spans="1:2" x14ac:dyDescent="0.3">
      <c r="B6" s="1"/>
    </row>
    <row r="7" spans="1:2" x14ac:dyDescent="0.3">
      <c r="A7" s="3" t="s">
        <v>89</v>
      </c>
      <c r="B7" s="1"/>
    </row>
    <row r="8" spans="1:2" x14ac:dyDescent="0.3">
      <c r="A8" s="2"/>
      <c r="B8" s="1"/>
    </row>
    <row r="9" spans="1:2" x14ac:dyDescent="0.3">
      <c r="A9" s="19" t="s">
        <v>90</v>
      </c>
    </row>
    <row r="10" spans="1:2" x14ac:dyDescent="0.3">
      <c r="A10" s="2"/>
    </row>
    <row r="11" spans="1:2" x14ac:dyDescent="0.3">
      <c r="A11" s="19" t="s">
        <v>91</v>
      </c>
    </row>
    <row r="12" spans="1:2" x14ac:dyDescent="0.3">
      <c r="A12" s="2"/>
    </row>
    <row r="13" spans="1:2" x14ac:dyDescent="0.3">
      <c r="A13" s="19" t="s">
        <v>92</v>
      </c>
    </row>
    <row r="14" spans="1:2" x14ac:dyDescent="0.3">
      <c r="A14" s="2"/>
    </row>
    <row r="15" spans="1:2" x14ac:dyDescent="0.3">
      <c r="A15" s="19" t="s">
        <v>93</v>
      </c>
    </row>
    <row r="19" spans="1:1" x14ac:dyDescent="0.3">
      <c r="A19" s="3" t="s">
        <v>94</v>
      </c>
    </row>
    <row r="21" spans="1:1" x14ac:dyDescent="0.3">
      <c r="A21" t="s">
        <v>95</v>
      </c>
    </row>
    <row r="22" spans="1:1" x14ac:dyDescent="0.3">
      <c r="A22" s="2"/>
    </row>
    <row r="23" spans="1:1" x14ac:dyDescent="0.3">
      <c r="A23" s="19" t="s">
        <v>96</v>
      </c>
    </row>
    <row r="24" spans="1:1" x14ac:dyDescent="0.3">
      <c r="A24" s="2"/>
    </row>
    <row r="25" spans="1:1" x14ac:dyDescent="0.3">
      <c r="A25" s="19" t="s">
        <v>97</v>
      </c>
    </row>
    <row r="26" spans="1:1" x14ac:dyDescent="0.3">
      <c r="A26" s="2"/>
    </row>
    <row r="27" spans="1:1" x14ac:dyDescent="0.3">
      <c r="A27" s="19" t="s">
        <v>98</v>
      </c>
    </row>
    <row r="28" spans="1:1" x14ac:dyDescent="0.3">
      <c r="A28" s="2"/>
    </row>
    <row r="29" spans="1:1" x14ac:dyDescent="0.3">
      <c r="A29" s="19" t="s">
        <v>99</v>
      </c>
    </row>
    <row r="30" spans="1:1" x14ac:dyDescent="0.3">
      <c r="A30" s="2"/>
    </row>
    <row r="31" spans="1:1" x14ac:dyDescent="0.3">
      <c r="A31" s="19" t="s">
        <v>100</v>
      </c>
    </row>
    <row r="35" spans="1:1" x14ac:dyDescent="0.3">
      <c r="A35" s="3" t="s">
        <v>101</v>
      </c>
    </row>
    <row r="37" spans="1:1" x14ac:dyDescent="0.3">
      <c r="A37" t="s">
        <v>102</v>
      </c>
    </row>
    <row r="39" spans="1:1" ht="18" x14ac:dyDescent="0.3">
      <c r="A39" s="20" t="s">
        <v>103</v>
      </c>
    </row>
    <row r="40" spans="1:1" x14ac:dyDescent="0.3">
      <c r="A40" s="2"/>
    </row>
    <row r="41" spans="1:1" x14ac:dyDescent="0.3">
      <c r="A41" s="2" t="s">
        <v>104</v>
      </c>
    </row>
    <row r="43" spans="1:1" ht="18" x14ac:dyDescent="0.3">
      <c r="A43" s="20" t="s">
        <v>105</v>
      </c>
    </row>
    <row r="44" spans="1:1" x14ac:dyDescent="0.3">
      <c r="A44" s="2"/>
    </row>
    <row r="45" spans="1:1" x14ac:dyDescent="0.3">
      <c r="A45" s="19" t="s">
        <v>106</v>
      </c>
    </row>
    <row r="46" spans="1:1" x14ac:dyDescent="0.3">
      <c r="A46" s="2"/>
    </row>
    <row r="47" spans="1:1" x14ac:dyDescent="0.3">
      <c r="A47" s="19" t="s">
        <v>107</v>
      </c>
    </row>
    <row r="49" spans="1:1" ht="18" x14ac:dyDescent="0.3">
      <c r="A49" s="20" t="s">
        <v>108</v>
      </c>
    </row>
    <row r="50" spans="1:1" x14ac:dyDescent="0.3">
      <c r="A50" s="2"/>
    </row>
    <row r="51" spans="1:1" x14ac:dyDescent="0.3">
      <c r="A51" s="2" t="s">
        <v>109</v>
      </c>
    </row>
    <row r="52" spans="1:1" x14ac:dyDescent="0.3">
      <c r="A52" s="2"/>
    </row>
    <row r="53" spans="1:1" x14ac:dyDescent="0.3">
      <c r="A53" s="2" t="s">
        <v>110</v>
      </c>
    </row>
    <row r="54" spans="1:1" x14ac:dyDescent="0.3">
      <c r="A54" s="2"/>
    </row>
    <row r="55" spans="1:1" x14ac:dyDescent="0.3">
      <c r="A55" s="2" t="s">
        <v>111</v>
      </c>
    </row>
    <row r="57" spans="1:1" ht="18" x14ac:dyDescent="0.3">
      <c r="A57" s="20" t="s">
        <v>112</v>
      </c>
    </row>
    <row r="58" spans="1:1" x14ac:dyDescent="0.3">
      <c r="A58" s="2"/>
    </row>
    <row r="59" spans="1:1" x14ac:dyDescent="0.3">
      <c r="A59" s="2" t="s">
        <v>113</v>
      </c>
    </row>
    <row r="61" spans="1:1" ht="18" x14ac:dyDescent="0.3">
      <c r="A61" s="20" t="s">
        <v>114</v>
      </c>
    </row>
    <row r="62" spans="1:1" x14ac:dyDescent="0.3">
      <c r="A62" s="2"/>
    </row>
    <row r="63" spans="1:1" x14ac:dyDescent="0.3">
      <c r="A63" s="19" t="s">
        <v>115</v>
      </c>
    </row>
    <row r="64" spans="1:1" x14ac:dyDescent="0.3">
      <c r="A64" s="2"/>
    </row>
    <row r="65" spans="1:1" x14ac:dyDescent="0.3">
      <c r="A65" s="19" t="s">
        <v>116</v>
      </c>
    </row>
    <row r="66" spans="1:1" x14ac:dyDescent="0.3">
      <c r="A66" s="2"/>
    </row>
    <row r="67" spans="1:1" x14ac:dyDescent="0.3">
      <c r="A67" s="19" t="s">
        <v>117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5727-24C8-4A8A-A20A-BED67551D325}">
  <dimension ref="B2:E36"/>
  <sheetViews>
    <sheetView workbookViewId="0">
      <selection activeCell="B7" sqref="B7"/>
    </sheetView>
  </sheetViews>
  <sheetFormatPr defaultRowHeight="14.4" x14ac:dyDescent="0.3"/>
  <cols>
    <col min="3" max="3" width="73.33203125" customWidth="1"/>
  </cols>
  <sheetData>
    <row r="2" spans="2:5" x14ac:dyDescent="0.3">
      <c r="B2" s="3" t="s">
        <v>0</v>
      </c>
    </row>
    <row r="3" spans="2:5" ht="15.6" x14ac:dyDescent="0.3">
      <c r="C3" s="18" t="s">
        <v>1</v>
      </c>
      <c r="D3" s="18" t="s">
        <v>84</v>
      </c>
      <c r="E3" s="18" t="s">
        <v>85</v>
      </c>
    </row>
    <row r="4" spans="2:5" ht="15.6" x14ac:dyDescent="0.3">
      <c r="C4" s="18" t="s">
        <v>6</v>
      </c>
      <c r="D4" s="18" t="s">
        <v>7</v>
      </c>
      <c r="E4" s="18">
        <v>4000</v>
      </c>
    </row>
    <row r="5" spans="2:5" ht="15.6" x14ac:dyDescent="0.3">
      <c r="C5" s="18" t="s">
        <v>4</v>
      </c>
      <c r="D5" s="18" t="s">
        <v>5</v>
      </c>
      <c r="E5" s="18">
        <v>5000</v>
      </c>
    </row>
    <row r="6" spans="2:5" ht="15.6" x14ac:dyDescent="0.3">
      <c r="C6" s="18" t="s">
        <v>8</v>
      </c>
      <c r="D6" s="18" t="s">
        <v>7</v>
      </c>
      <c r="E6" s="18">
        <v>2500</v>
      </c>
    </row>
    <row r="7" spans="2:5" x14ac:dyDescent="0.3">
      <c r="B7" t="s">
        <v>86</v>
      </c>
    </row>
    <row r="8" spans="2:5" ht="69" x14ac:dyDescent="0.3">
      <c r="C8" s="17" t="s">
        <v>83</v>
      </c>
    </row>
    <row r="9" spans="2:5" ht="15" thickBot="1" x14ac:dyDescent="0.35"/>
    <row r="10" spans="2:5" ht="28.2" thickBot="1" x14ac:dyDescent="0.35">
      <c r="C10" s="7" t="s">
        <v>1</v>
      </c>
      <c r="D10" s="7" t="s">
        <v>2</v>
      </c>
      <c r="E10" s="7" t="s">
        <v>3</v>
      </c>
    </row>
    <row r="11" spans="2:5" ht="15" thickBot="1" x14ac:dyDescent="0.35">
      <c r="C11" s="8" t="s">
        <v>4</v>
      </c>
      <c r="D11" s="8" t="s">
        <v>5</v>
      </c>
      <c r="E11" s="8">
        <v>5000</v>
      </c>
    </row>
    <row r="12" spans="2:5" ht="15" thickBot="1" x14ac:dyDescent="0.35">
      <c r="C12" s="8" t="s">
        <v>6</v>
      </c>
      <c r="D12" s="8" t="s">
        <v>7</v>
      </c>
      <c r="E12" s="8">
        <v>4000</v>
      </c>
    </row>
    <row r="13" spans="2:5" ht="15" thickBot="1" x14ac:dyDescent="0.35">
      <c r="C13" s="8" t="s">
        <v>8</v>
      </c>
      <c r="D13" s="8" t="s">
        <v>7</v>
      </c>
      <c r="E13" s="8">
        <v>2500</v>
      </c>
    </row>
    <row r="14" spans="2:5" x14ac:dyDescent="0.3">
      <c r="C14" s="9"/>
    </row>
    <row r="18" spans="3:3" x14ac:dyDescent="0.3">
      <c r="C18" s="10"/>
    </row>
    <row r="20" spans="3:3" x14ac:dyDescent="0.3">
      <c r="C20" s="4"/>
    </row>
    <row r="21" spans="3:3" x14ac:dyDescent="0.3">
      <c r="C21" s="2"/>
    </row>
    <row r="22" spans="3:3" x14ac:dyDescent="0.3">
      <c r="C22" s="6"/>
    </row>
    <row r="23" spans="3:3" x14ac:dyDescent="0.3">
      <c r="C23" s="2"/>
    </row>
    <row r="24" spans="3:3" x14ac:dyDescent="0.3">
      <c r="C24" s="6"/>
    </row>
    <row r="26" spans="3:3" x14ac:dyDescent="0.3">
      <c r="C26" s="4"/>
    </row>
    <row r="30" spans="3:3" ht="17.399999999999999" x14ac:dyDescent="0.3">
      <c r="C30" s="5"/>
    </row>
    <row r="31" spans="3:3" x14ac:dyDescent="0.3">
      <c r="C31" s="2"/>
    </row>
    <row r="32" spans="3:3" x14ac:dyDescent="0.3">
      <c r="C32" s="6"/>
    </row>
    <row r="33" spans="3:3" x14ac:dyDescent="0.3">
      <c r="C33" s="2"/>
    </row>
    <row r="34" spans="3:3" x14ac:dyDescent="0.3">
      <c r="C34" s="6"/>
    </row>
    <row r="35" spans="3:3" x14ac:dyDescent="0.3">
      <c r="C35" s="2"/>
    </row>
    <row r="36" spans="3:3" x14ac:dyDescent="0.3">
      <c r="C3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B005-0B97-40B6-BB04-6619120415A7}">
  <dimension ref="A2:E17"/>
  <sheetViews>
    <sheetView topLeftCell="A8" workbookViewId="0">
      <selection activeCell="K14" sqref="K14"/>
    </sheetView>
  </sheetViews>
  <sheetFormatPr defaultRowHeight="14.4" x14ac:dyDescent="0.3"/>
  <cols>
    <col min="2" max="2" width="61.33203125" bestFit="1" customWidth="1"/>
    <col min="5" max="5" width="9.5546875" bestFit="1" customWidth="1"/>
  </cols>
  <sheetData>
    <row r="2" spans="1:5" x14ac:dyDescent="0.3">
      <c r="A2" s="3" t="s">
        <v>9</v>
      </c>
    </row>
    <row r="3" spans="1:5" x14ac:dyDescent="0.3">
      <c r="A3" t="s">
        <v>10</v>
      </c>
      <c r="B3" s="3"/>
    </row>
    <row r="4" spans="1:5" x14ac:dyDescent="0.3">
      <c r="B4" s="11"/>
    </row>
    <row r="5" spans="1:5" ht="57.6" x14ac:dyDescent="0.3">
      <c r="B5" s="16" t="s">
        <v>78</v>
      </c>
    </row>
    <row r="8" spans="1:5" ht="57.6" x14ac:dyDescent="0.3">
      <c r="B8" s="16" t="s">
        <v>79</v>
      </c>
    </row>
    <row r="11" spans="1:5" ht="72" x14ac:dyDescent="0.3">
      <c r="B11" s="16" t="s">
        <v>80</v>
      </c>
    </row>
    <row r="13" spans="1:5" ht="15.6" customHeight="1" x14ac:dyDescent="0.3">
      <c r="B13" s="16"/>
      <c r="E13" s="16"/>
    </row>
    <row r="14" spans="1:5" ht="57.6" x14ac:dyDescent="0.3">
      <c r="B14" s="16" t="s">
        <v>81</v>
      </c>
    </row>
    <row r="17" spans="2:2" ht="86.4" x14ac:dyDescent="0.3">
      <c r="B17" s="16"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96AE-B2A9-4A37-83FD-B1A6A73A5988}">
  <dimension ref="A2:B6"/>
  <sheetViews>
    <sheetView workbookViewId="0">
      <selection activeCell="C11" sqref="C11"/>
    </sheetView>
  </sheetViews>
  <sheetFormatPr defaultRowHeight="14.4" x14ac:dyDescent="0.3"/>
  <cols>
    <col min="2" max="2" width="10.5546875" bestFit="1" customWidth="1"/>
  </cols>
  <sheetData>
    <row r="2" spans="1:2" x14ac:dyDescent="0.3">
      <c r="A2" s="3" t="s">
        <v>11</v>
      </c>
    </row>
    <row r="4" spans="1:2" x14ac:dyDescent="0.3">
      <c r="A4" t="s">
        <v>10</v>
      </c>
      <c r="B4" t="s">
        <v>118</v>
      </c>
    </row>
    <row r="5" spans="1:2" x14ac:dyDescent="0.3">
      <c r="B5" s="12">
        <f ca="1">TODAY()</f>
        <v>46008</v>
      </c>
    </row>
    <row r="6" spans="1:2" x14ac:dyDescent="0.3">
      <c r="B6"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ADE0-ECE8-4CA3-8D62-BDCB47BEB739}">
  <dimension ref="B1:N60"/>
  <sheetViews>
    <sheetView zoomScale="130" zoomScaleNormal="130" workbookViewId="0">
      <selection activeCell="J12" sqref="J12"/>
    </sheetView>
  </sheetViews>
  <sheetFormatPr defaultRowHeight="14.4" x14ac:dyDescent="0.3"/>
  <cols>
    <col min="2" max="2" width="15.21875" customWidth="1"/>
    <col min="3" max="3" width="13.77734375" customWidth="1"/>
    <col min="4" max="4" width="15.88671875" customWidth="1"/>
    <col min="6" max="6" width="13.44140625" customWidth="1"/>
    <col min="8" max="8" width="15.77734375" customWidth="1"/>
  </cols>
  <sheetData>
    <row r="1" spans="2:14" x14ac:dyDescent="0.3">
      <c r="B1" s="21" t="s">
        <v>133</v>
      </c>
      <c r="C1" s="22"/>
      <c r="D1" s="22"/>
      <c r="E1" s="22"/>
      <c r="F1" s="22"/>
      <c r="G1" s="22"/>
      <c r="H1" s="22"/>
      <c r="I1" s="22"/>
      <c r="J1" s="22"/>
      <c r="K1" s="22"/>
      <c r="L1" s="22"/>
      <c r="M1" s="22"/>
      <c r="N1" s="22"/>
    </row>
    <row r="2" spans="2:14" x14ac:dyDescent="0.3">
      <c r="B2" s="22"/>
      <c r="C2" s="22"/>
      <c r="D2" s="22"/>
      <c r="E2" s="22"/>
      <c r="F2" s="22"/>
      <c r="G2" s="22"/>
      <c r="H2" s="22"/>
      <c r="I2" s="22"/>
      <c r="J2" s="22"/>
      <c r="K2" s="22"/>
      <c r="L2" s="22"/>
      <c r="M2" s="22"/>
      <c r="N2" s="22"/>
    </row>
    <row r="3" spans="2:14" x14ac:dyDescent="0.3">
      <c r="B3" s="22"/>
      <c r="C3" s="22"/>
      <c r="D3" s="22"/>
      <c r="E3" s="22"/>
      <c r="F3" s="22"/>
      <c r="G3" s="22"/>
      <c r="H3" s="22"/>
      <c r="I3" s="22"/>
      <c r="J3" s="22"/>
      <c r="K3" s="22"/>
      <c r="L3" s="22"/>
      <c r="M3" s="22"/>
      <c r="N3" s="22"/>
    </row>
    <row r="4" spans="2:14" x14ac:dyDescent="0.3">
      <c r="B4" s="22"/>
      <c r="C4" s="22"/>
      <c r="D4" s="22"/>
      <c r="E4" s="22"/>
      <c r="F4" s="22"/>
      <c r="G4" s="22"/>
      <c r="H4" s="22"/>
      <c r="I4" s="22"/>
      <c r="J4" s="22"/>
      <c r="K4" s="22"/>
      <c r="L4" s="22"/>
      <c r="M4" s="22"/>
      <c r="N4" s="22"/>
    </row>
    <row r="5" spans="2:14" x14ac:dyDescent="0.3">
      <c r="B5" s="22"/>
      <c r="C5" s="22"/>
      <c r="D5" s="22"/>
      <c r="E5" s="22"/>
      <c r="F5" s="22"/>
      <c r="G5" s="22"/>
      <c r="H5" s="22"/>
      <c r="I5" s="22"/>
      <c r="J5" s="22"/>
      <c r="K5" s="22"/>
      <c r="L5" s="22"/>
      <c r="M5" s="22"/>
      <c r="N5" s="22"/>
    </row>
    <row r="6" spans="2:14" x14ac:dyDescent="0.3">
      <c r="B6" s="22"/>
      <c r="C6" s="22"/>
      <c r="D6" s="22"/>
      <c r="E6" s="22"/>
      <c r="F6" s="22"/>
      <c r="G6" s="22"/>
      <c r="H6" s="22"/>
      <c r="I6" s="22"/>
      <c r="J6" s="22"/>
      <c r="K6" s="22"/>
      <c r="L6" s="22"/>
      <c r="M6" s="22"/>
      <c r="N6" s="22"/>
    </row>
    <row r="7" spans="2:14" x14ac:dyDescent="0.3">
      <c r="B7" s="22"/>
      <c r="C7" s="22"/>
      <c r="D7" s="22"/>
      <c r="E7" s="22"/>
      <c r="F7" s="22"/>
      <c r="G7" s="22"/>
      <c r="H7" s="22"/>
      <c r="I7" s="22"/>
      <c r="J7" s="22"/>
      <c r="K7" s="22"/>
      <c r="L7" s="22"/>
      <c r="M7" s="22"/>
      <c r="N7" s="22"/>
    </row>
    <row r="8" spans="2:14" x14ac:dyDescent="0.3">
      <c r="B8" s="22"/>
      <c r="C8" s="22"/>
      <c r="D8" s="22"/>
      <c r="E8" s="22"/>
      <c r="F8" s="22"/>
      <c r="G8" s="22"/>
      <c r="H8" s="22"/>
      <c r="I8" s="22"/>
      <c r="J8" s="22"/>
      <c r="K8" s="22"/>
      <c r="L8" s="22"/>
      <c r="M8" s="22"/>
      <c r="N8" s="22"/>
    </row>
    <row r="9" spans="2:14" x14ac:dyDescent="0.3">
      <c r="B9" s="23"/>
      <c r="C9" s="23"/>
      <c r="D9" s="23"/>
      <c r="E9" s="23"/>
      <c r="F9" s="23"/>
      <c r="G9" s="23"/>
      <c r="H9" s="23"/>
      <c r="I9" s="23"/>
      <c r="J9" s="23"/>
      <c r="K9" s="23"/>
      <c r="L9" s="23"/>
      <c r="M9" s="23"/>
      <c r="N9" s="23"/>
    </row>
    <row r="10" spans="2:14" x14ac:dyDescent="0.3">
      <c r="B10" s="23"/>
      <c r="C10" s="23"/>
      <c r="D10" s="23"/>
      <c r="E10" s="23"/>
      <c r="F10" s="23"/>
      <c r="G10" s="23"/>
      <c r="H10" s="23"/>
      <c r="I10" s="23"/>
      <c r="J10" s="23"/>
      <c r="K10" s="23"/>
      <c r="L10" s="23"/>
      <c r="M10" s="23"/>
      <c r="N10" s="23"/>
    </row>
    <row r="11" spans="2:14" ht="15.6" x14ac:dyDescent="0.3">
      <c r="B11" s="23"/>
      <c r="C11" s="23"/>
      <c r="D11" s="24" t="s">
        <v>120</v>
      </c>
      <c r="E11" s="24" t="s">
        <v>121</v>
      </c>
      <c r="F11" s="24" t="s">
        <v>122</v>
      </c>
      <c r="G11" s="24" t="s">
        <v>12</v>
      </c>
      <c r="H11" s="24" t="s">
        <v>123</v>
      </c>
      <c r="I11" s="23"/>
      <c r="J11" s="23"/>
      <c r="K11" s="23"/>
      <c r="L11" s="23"/>
      <c r="M11" s="23"/>
      <c r="N11" s="23"/>
    </row>
    <row r="12" spans="2:14" ht="15.6" x14ac:dyDescent="0.3">
      <c r="B12" s="23"/>
      <c r="C12" s="23"/>
      <c r="D12" s="25" t="s">
        <v>14</v>
      </c>
      <c r="E12" s="25" t="s">
        <v>15</v>
      </c>
      <c r="F12" s="25" t="s">
        <v>124</v>
      </c>
      <c r="G12" s="25"/>
      <c r="H12" s="25">
        <v>81</v>
      </c>
      <c r="I12" s="23"/>
      <c r="J12" s="23"/>
      <c r="K12" s="23"/>
      <c r="L12" s="23"/>
      <c r="M12" s="23"/>
      <c r="N12" s="23"/>
    </row>
    <row r="13" spans="2:14" ht="15.6" x14ac:dyDescent="0.3">
      <c r="B13" s="23"/>
      <c r="C13" s="23"/>
      <c r="D13" s="25" t="s">
        <v>17</v>
      </c>
      <c r="E13" s="25" t="s">
        <v>18</v>
      </c>
      <c r="F13" s="25" t="s">
        <v>16</v>
      </c>
      <c r="G13" s="25"/>
      <c r="H13" s="25">
        <v>121</v>
      </c>
      <c r="I13" s="23"/>
      <c r="J13" s="23"/>
      <c r="K13" s="23"/>
      <c r="L13" s="23"/>
      <c r="M13" s="23"/>
      <c r="N13" s="23"/>
    </row>
    <row r="14" spans="2:14" ht="15.6" x14ac:dyDescent="0.3">
      <c r="B14" s="23"/>
      <c r="C14" s="23"/>
      <c r="D14" s="25" t="s">
        <v>125</v>
      </c>
      <c r="E14" s="25" t="s">
        <v>19</v>
      </c>
      <c r="F14" s="25" t="s">
        <v>126</v>
      </c>
      <c r="G14" s="25"/>
      <c r="H14" s="25">
        <v>239</v>
      </c>
      <c r="I14" s="23"/>
      <c r="J14" s="23"/>
      <c r="K14" s="23"/>
      <c r="L14" s="23"/>
      <c r="M14" s="23"/>
      <c r="N14" s="23"/>
    </row>
    <row r="15" spans="2:14" ht="15.6" x14ac:dyDescent="0.3">
      <c r="B15" s="23"/>
      <c r="C15" s="23"/>
      <c r="D15" s="25" t="s">
        <v>20</v>
      </c>
      <c r="E15" s="25" t="s">
        <v>15</v>
      </c>
      <c r="F15" s="25" t="s">
        <v>16</v>
      </c>
      <c r="G15" s="25"/>
      <c r="H15" s="25">
        <v>500</v>
      </c>
      <c r="I15" s="23"/>
      <c r="J15" s="23"/>
      <c r="K15" s="23"/>
      <c r="L15" s="23"/>
      <c r="M15" s="23"/>
      <c r="N15" s="23"/>
    </row>
    <row r="16" spans="2:14" ht="15.6" x14ac:dyDescent="0.3">
      <c r="B16" s="23"/>
      <c r="C16" s="23"/>
      <c r="D16" s="25" t="s">
        <v>21</v>
      </c>
      <c r="E16" s="25" t="s">
        <v>22</v>
      </c>
      <c r="F16" s="25" t="s">
        <v>127</v>
      </c>
      <c r="G16" s="25"/>
      <c r="H16" s="25">
        <v>423</v>
      </c>
      <c r="I16" s="23"/>
      <c r="J16" s="23"/>
      <c r="K16" s="23"/>
      <c r="L16" s="23"/>
      <c r="M16" s="23"/>
      <c r="N16" s="23"/>
    </row>
    <row r="17" spans="2:14" ht="15.6" x14ac:dyDescent="0.3">
      <c r="B17" s="23"/>
      <c r="C17" s="23"/>
      <c r="D17" s="25" t="s">
        <v>23</v>
      </c>
      <c r="E17" s="25" t="s">
        <v>128</v>
      </c>
      <c r="F17" s="25" t="s">
        <v>16</v>
      </c>
      <c r="G17" s="25"/>
      <c r="H17" s="25">
        <v>160</v>
      </c>
      <c r="I17" s="23"/>
      <c r="J17" s="23"/>
      <c r="K17" s="23"/>
      <c r="L17" s="23"/>
      <c r="M17" s="23"/>
      <c r="N17" s="23"/>
    </row>
    <row r="18" spans="2:14" ht="15.6" x14ac:dyDescent="0.3">
      <c r="B18" s="23"/>
      <c r="C18" s="23"/>
      <c r="D18" s="25" t="s">
        <v>24</v>
      </c>
      <c r="E18" s="25" t="s">
        <v>13</v>
      </c>
      <c r="F18" s="25" t="s">
        <v>16</v>
      </c>
      <c r="G18" s="25"/>
      <c r="H18" s="25">
        <v>348</v>
      </c>
      <c r="I18" s="23"/>
      <c r="J18" s="23"/>
      <c r="K18" s="23"/>
      <c r="L18" s="23"/>
      <c r="M18" s="23"/>
      <c r="N18" s="23"/>
    </row>
    <row r="19" spans="2:14" ht="15.6" x14ac:dyDescent="0.3">
      <c r="B19" s="23"/>
      <c r="C19" s="23"/>
      <c r="D19" s="25" t="s">
        <v>129</v>
      </c>
      <c r="E19" s="25" t="s">
        <v>13</v>
      </c>
      <c r="F19" s="25" t="s">
        <v>16</v>
      </c>
      <c r="G19" s="25"/>
      <c r="H19" s="25">
        <v>152</v>
      </c>
      <c r="I19" s="23"/>
      <c r="J19" s="23"/>
      <c r="K19" s="23"/>
      <c r="L19" s="23"/>
      <c r="M19" s="23"/>
      <c r="N19" s="23"/>
    </row>
    <row r="20" spans="2:14" ht="15.6" x14ac:dyDescent="0.3">
      <c r="B20" s="23"/>
      <c r="C20" s="23"/>
      <c r="D20" s="25" t="s">
        <v>25</v>
      </c>
      <c r="E20" s="25" t="s">
        <v>130</v>
      </c>
      <c r="F20" s="25" t="s">
        <v>127</v>
      </c>
      <c r="G20" s="25"/>
      <c r="H20" s="25">
        <v>369</v>
      </c>
      <c r="I20" s="23"/>
      <c r="J20" s="23"/>
      <c r="K20" s="23"/>
      <c r="L20" s="23"/>
      <c r="M20" s="23"/>
      <c r="N20" s="23"/>
    </row>
    <row r="21" spans="2:14" x14ac:dyDescent="0.3">
      <c r="B21" s="23"/>
      <c r="C21" s="23"/>
      <c r="D21" s="23"/>
      <c r="E21" s="23"/>
      <c r="F21" s="23"/>
      <c r="G21" s="23"/>
      <c r="H21" s="23"/>
      <c r="I21" s="23"/>
      <c r="J21" s="23"/>
      <c r="K21" s="23"/>
      <c r="L21" s="23"/>
      <c r="M21" s="23"/>
      <c r="N21" s="23"/>
    </row>
    <row r="22" spans="2:14" x14ac:dyDescent="0.3">
      <c r="B22" s="23"/>
      <c r="C22" s="23"/>
      <c r="D22" s="23"/>
      <c r="E22" s="23"/>
      <c r="F22" s="23"/>
      <c r="G22" s="23"/>
      <c r="H22" s="23"/>
      <c r="I22" s="23"/>
      <c r="J22" s="23"/>
      <c r="K22" s="23"/>
      <c r="L22" s="23"/>
      <c r="M22" s="23"/>
      <c r="N22" s="23"/>
    </row>
    <row r="23" spans="2:14" x14ac:dyDescent="0.3">
      <c r="B23" s="23"/>
      <c r="C23" s="23"/>
      <c r="D23" s="23"/>
      <c r="E23" s="23"/>
      <c r="F23" s="23"/>
      <c r="G23" s="23"/>
      <c r="H23" s="23"/>
      <c r="I23" s="23"/>
      <c r="J23" s="23"/>
      <c r="K23" s="23"/>
      <c r="L23" s="23"/>
      <c r="M23" s="23"/>
      <c r="N23" s="23"/>
    </row>
    <row r="24" spans="2:14" ht="15.6" x14ac:dyDescent="0.3">
      <c r="B24" s="23"/>
      <c r="C24" s="26" t="s">
        <v>131</v>
      </c>
      <c r="D24" s="23"/>
      <c r="E24" s="23"/>
      <c r="F24" s="23"/>
      <c r="G24" s="23"/>
      <c r="H24" s="23"/>
      <c r="I24" s="23"/>
      <c r="J24" s="23"/>
      <c r="K24" s="23"/>
      <c r="L24" s="23"/>
      <c r="M24" s="23"/>
      <c r="N24" s="23"/>
    </row>
    <row r="25" spans="2:14" x14ac:dyDescent="0.3">
      <c r="B25" s="23"/>
      <c r="C25" s="23"/>
      <c r="D25" s="23"/>
      <c r="E25" s="23"/>
      <c r="F25" s="23"/>
      <c r="G25" s="23"/>
      <c r="H25" s="23"/>
      <c r="I25" s="23"/>
      <c r="J25" s="23"/>
      <c r="K25" s="23"/>
      <c r="L25" s="23"/>
      <c r="M25" s="23"/>
      <c r="N25" s="23"/>
    </row>
    <row r="26" spans="2:14" ht="15.6" x14ac:dyDescent="0.3">
      <c r="B26" s="23"/>
      <c r="C26" s="23"/>
      <c r="D26" s="24" t="s">
        <v>120</v>
      </c>
      <c r="E26" s="24" t="s">
        <v>121</v>
      </c>
      <c r="F26" s="24" t="s">
        <v>122</v>
      </c>
      <c r="G26" s="24" t="s">
        <v>12</v>
      </c>
      <c r="H26" s="24" t="s">
        <v>123</v>
      </c>
      <c r="I26" s="23"/>
      <c r="J26" s="23"/>
      <c r="K26" s="23"/>
      <c r="L26" s="23"/>
      <c r="M26" s="23"/>
      <c r="N26" s="23"/>
    </row>
    <row r="27" spans="2:14" ht="15.6" x14ac:dyDescent="0.3">
      <c r="B27" s="23"/>
      <c r="C27" s="23"/>
      <c r="D27" s="25" t="s">
        <v>14</v>
      </c>
      <c r="E27" s="25" t="s">
        <v>15</v>
      </c>
      <c r="F27" s="25" t="s">
        <v>124</v>
      </c>
      <c r="G27" s="25"/>
      <c r="H27" s="25">
        <v>81</v>
      </c>
      <c r="I27" s="23"/>
      <c r="J27" s="23"/>
      <c r="K27" s="23"/>
      <c r="L27" s="23"/>
      <c r="M27" s="23"/>
      <c r="N27" s="23"/>
    </row>
    <row r="28" spans="2:14" ht="15.6" x14ac:dyDescent="0.3">
      <c r="B28" s="23"/>
      <c r="C28" s="23"/>
      <c r="D28" s="25" t="s">
        <v>17</v>
      </c>
      <c r="E28" s="25" t="s">
        <v>18</v>
      </c>
      <c r="F28" s="25" t="s">
        <v>16</v>
      </c>
      <c r="G28" s="25"/>
      <c r="H28" s="25">
        <v>121</v>
      </c>
      <c r="I28" s="23"/>
      <c r="J28" s="23"/>
      <c r="K28" s="23"/>
      <c r="L28" s="23"/>
      <c r="M28" s="23"/>
      <c r="N28" s="23"/>
    </row>
    <row r="29" spans="2:14" ht="15.6" x14ac:dyDescent="0.3">
      <c r="B29" s="23"/>
      <c r="C29" s="23"/>
      <c r="D29" s="25" t="s">
        <v>125</v>
      </c>
      <c r="E29" s="25" t="s">
        <v>19</v>
      </c>
      <c r="F29" s="25" t="s">
        <v>126</v>
      </c>
      <c r="G29" s="25"/>
      <c r="H29" s="25">
        <v>239</v>
      </c>
      <c r="I29" s="23"/>
      <c r="J29" s="26"/>
      <c r="K29" s="23"/>
      <c r="L29" s="23"/>
      <c r="M29" s="23"/>
      <c r="N29" s="23"/>
    </row>
    <row r="30" spans="2:14" ht="15.6" x14ac:dyDescent="0.3">
      <c r="B30" s="23"/>
      <c r="C30" s="23"/>
      <c r="D30" s="25" t="s">
        <v>20</v>
      </c>
      <c r="E30" s="25" t="s">
        <v>15</v>
      </c>
      <c r="F30" s="25" t="s">
        <v>16</v>
      </c>
      <c r="G30" s="25"/>
      <c r="H30" s="25">
        <v>500</v>
      </c>
      <c r="I30" s="23"/>
      <c r="J30" s="26"/>
      <c r="K30" s="23"/>
      <c r="L30" s="23"/>
      <c r="M30" s="23"/>
      <c r="N30" s="23"/>
    </row>
    <row r="31" spans="2:14" ht="15.6" x14ac:dyDescent="0.3">
      <c r="B31" s="23"/>
      <c r="C31" s="23"/>
      <c r="D31" s="25" t="s">
        <v>21</v>
      </c>
      <c r="E31" s="25" t="s">
        <v>22</v>
      </c>
      <c r="F31" s="25" t="s">
        <v>127</v>
      </c>
      <c r="G31" s="25"/>
      <c r="H31" s="25">
        <v>423</v>
      </c>
      <c r="I31" s="23"/>
      <c r="J31" s="23"/>
      <c r="K31" s="23"/>
      <c r="L31" s="23"/>
      <c r="M31" s="23"/>
      <c r="N31" s="23"/>
    </row>
    <row r="32" spans="2:14" ht="15.6" x14ac:dyDescent="0.3">
      <c r="B32" s="23"/>
      <c r="C32" s="23"/>
      <c r="D32" s="25" t="s">
        <v>23</v>
      </c>
      <c r="E32" s="25" t="s">
        <v>128</v>
      </c>
      <c r="F32" s="25" t="s">
        <v>16</v>
      </c>
      <c r="G32" s="25"/>
      <c r="H32" s="25">
        <v>160</v>
      </c>
      <c r="I32" s="23"/>
      <c r="J32" s="23"/>
      <c r="K32" s="23"/>
      <c r="L32" s="23"/>
      <c r="M32" s="23"/>
      <c r="N32" s="23"/>
    </row>
    <row r="33" spans="2:14" ht="15.6" x14ac:dyDescent="0.3">
      <c r="B33" s="23"/>
      <c r="C33" s="27"/>
      <c r="D33" s="25" t="s">
        <v>24</v>
      </c>
      <c r="E33" s="25" t="s">
        <v>13</v>
      </c>
      <c r="F33" s="25" t="s">
        <v>16</v>
      </c>
      <c r="G33" s="25"/>
      <c r="H33" s="25">
        <v>348</v>
      </c>
      <c r="I33" s="23"/>
      <c r="J33" s="23"/>
      <c r="K33" s="23"/>
      <c r="L33" s="23"/>
      <c r="M33" s="23"/>
      <c r="N33" s="23"/>
    </row>
    <row r="34" spans="2:14" ht="15.6" x14ac:dyDescent="0.3">
      <c r="B34" s="23"/>
      <c r="C34" s="23"/>
      <c r="D34" s="25" t="s">
        <v>129</v>
      </c>
      <c r="E34" s="25" t="s">
        <v>13</v>
      </c>
      <c r="F34" s="25" t="s">
        <v>16</v>
      </c>
      <c r="G34" s="25"/>
      <c r="H34" s="25">
        <v>152</v>
      </c>
      <c r="I34" s="23"/>
      <c r="J34" s="23"/>
      <c r="K34" s="23"/>
      <c r="L34" s="23"/>
      <c r="M34" s="23"/>
      <c r="N34" s="23"/>
    </row>
    <row r="35" spans="2:14" ht="15.6" x14ac:dyDescent="0.3">
      <c r="B35" s="23"/>
      <c r="C35" s="23"/>
      <c r="D35" s="25" t="s">
        <v>25</v>
      </c>
      <c r="E35" s="25" t="s">
        <v>130</v>
      </c>
      <c r="F35" s="25" t="s">
        <v>127</v>
      </c>
      <c r="G35" s="25"/>
      <c r="H35" s="25">
        <v>369</v>
      </c>
      <c r="I35" s="23"/>
      <c r="J35" s="23"/>
      <c r="K35" s="23"/>
      <c r="L35" s="23"/>
      <c r="M35" s="23"/>
      <c r="N35" s="23"/>
    </row>
    <row r="36" spans="2:14" x14ac:dyDescent="0.3">
      <c r="B36" s="23"/>
      <c r="C36" s="23"/>
      <c r="D36" s="23"/>
      <c r="E36" s="23"/>
      <c r="F36" s="23"/>
      <c r="G36" s="23"/>
      <c r="H36" s="23"/>
      <c r="I36" s="23"/>
      <c r="J36" s="23"/>
      <c r="K36" s="23"/>
      <c r="L36" s="23"/>
      <c r="M36" s="23"/>
      <c r="N36" s="23"/>
    </row>
    <row r="37" spans="2:14" x14ac:dyDescent="0.3">
      <c r="B37" s="23"/>
      <c r="C37" s="23"/>
      <c r="D37" s="23"/>
      <c r="E37" s="23"/>
      <c r="F37" s="23"/>
      <c r="G37" s="23"/>
      <c r="H37" s="23"/>
      <c r="I37" s="23"/>
      <c r="J37" s="23"/>
      <c r="K37" s="23"/>
      <c r="L37" s="23"/>
      <c r="M37" s="23"/>
      <c r="N37" s="23"/>
    </row>
    <row r="38" spans="2:14" x14ac:dyDescent="0.3">
      <c r="B38" s="23"/>
      <c r="C38" s="23"/>
      <c r="D38" s="21" t="s">
        <v>132</v>
      </c>
      <c r="E38" s="21"/>
      <c r="F38" s="21"/>
      <c r="G38" s="21"/>
      <c r="H38" s="21"/>
      <c r="I38" s="23"/>
      <c r="J38" s="23"/>
      <c r="K38" s="23"/>
      <c r="L38" s="23"/>
      <c r="M38" s="23"/>
      <c r="N38" s="23"/>
    </row>
    <row r="39" spans="2:14" x14ac:dyDescent="0.3">
      <c r="B39" s="23"/>
      <c r="C39" s="23"/>
      <c r="D39" s="21"/>
      <c r="E39" s="21"/>
      <c r="F39" s="21"/>
      <c r="G39" s="21"/>
      <c r="H39" s="21"/>
      <c r="I39" s="23"/>
      <c r="J39" s="23"/>
      <c r="K39" s="23"/>
      <c r="L39" s="23"/>
      <c r="M39" s="23"/>
      <c r="N39" s="23"/>
    </row>
    <row r="40" spans="2:14" x14ac:dyDescent="0.3">
      <c r="B40" s="23"/>
      <c r="C40" s="23"/>
      <c r="D40" s="21"/>
      <c r="E40" s="21"/>
      <c r="F40" s="21"/>
      <c r="G40" s="21"/>
      <c r="H40" s="21"/>
      <c r="I40" s="23"/>
      <c r="J40" s="23"/>
      <c r="K40" s="23"/>
      <c r="L40" s="23"/>
      <c r="M40" s="23"/>
      <c r="N40" s="23"/>
    </row>
    <row r="41" spans="2:14" x14ac:dyDescent="0.3">
      <c r="B41" s="23"/>
      <c r="C41" s="23"/>
      <c r="D41" s="21"/>
      <c r="E41" s="21"/>
      <c r="F41" s="21"/>
      <c r="G41" s="21"/>
      <c r="H41" s="21"/>
      <c r="I41" s="23"/>
      <c r="J41" s="23"/>
      <c r="K41" s="23"/>
      <c r="L41" s="23"/>
      <c r="M41" s="23"/>
      <c r="N41" s="23"/>
    </row>
    <row r="42" spans="2:14" x14ac:dyDescent="0.3">
      <c r="B42" s="23"/>
      <c r="C42" s="23"/>
      <c r="D42" s="21"/>
      <c r="E42" s="21"/>
      <c r="F42" s="21"/>
      <c r="G42" s="21"/>
      <c r="H42" s="21"/>
      <c r="I42" s="23"/>
      <c r="J42" s="23"/>
      <c r="K42" s="23"/>
      <c r="L42" s="23"/>
      <c r="M42" s="23"/>
      <c r="N42" s="23"/>
    </row>
    <row r="43" spans="2:14" x14ac:dyDescent="0.3">
      <c r="B43" s="23"/>
      <c r="C43" s="23"/>
      <c r="D43" s="21"/>
      <c r="E43" s="21"/>
      <c r="F43" s="21"/>
      <c r="G43" s="21"/>
      <c r="H43" s="21"/>
      <c r="I43" s="23"/>
      <c r="J43" s="23"/>
      <c r="K43" s="23"/>
      <c r="L43" s="23"/>
      <c r="M43" s="23"/>
      <c r="N43" s="23"/>
    </row>
    <row r="44" spans="2:14" x14ac:dyDescent="0.3">
      <c r="B44" s="23"/>
      <c r="C44" s="23"/>
      <c r="D44" s="21"/>
      <c r="E44" s="21"/>
      <c r="F44" s="21"/>
      <c r="G44" s="21"/>
      <c r="H44" s="21"/>
      <c r="I44" s="23"/>
      <c r="J44" s="23"/>
      <c r="K44" s="23"/>
      <c r="L44" s="23"/>
      <c r="M44" s="23"/>
      <c r="N44" s="23"/>
    </row>
    <row r="45" spans="2:14" x14ac:dyDescent="0.3">
      <c r="B45" s="23"/>
      <c r="C45" s="23"/>
      <c r="D45" s="21"/>
      <c r="E45" s="21"/>
      <c r="F45" s="21"/>
      <c r="G45" s="21"/>
      <c r="H45" s="21"/>
      <c r="I45" s="23"/>
      <c r="J45" s="23"/>
      <c r="K45" s="23"/>
      <c r="L45" s="23"/>
      <c r="M45" s="23"/>
      <c r="N45" s="23"/>
    </row>
    <row r="46" spans="2:14" x14ac:dyDescent="0.3">
      <c r="B46" s="23"/>
      <c r="C46" s="23"/>
      <c r="D46" s="21"/>
      <c r="E46" s="21"/>
      <c r="F46" s="21"/>
      <c r="G46" s="21"/>
      <c r="H46" s="21"/>
      <c r="I46" s="23"/>
      <c r="J46" s="23"/>
      <c r="K46" s="23"/>
      <c r="L46" s="23"/>
      <c r="M46" s="23"/>
      <c r="N46" s="23"/>
    </row>
    <row r="47" spans="2:14" x14ac:dyDescent="0.3">
      <c r="B47" s="23"/>
      <c r="C47" s="23"/>
      <c r="D47" s="21"/>
      <c r="E47" s="21"/>
      <c r="F47" s="21"/>
      <c r="G47" s="21"/>
      <c r="H47" s="21"/>
      <c r="I47" s="23"/>
      <c r="J47" s="23"/>
      <c r="K47" s="23"/>
      <c r="L47" s="23"/>
      <c r="M47" s="23"/>
      <c r="N47" s="23"/>
    </row>
    <row r="48" spans="2:14" x14ac:dyDescent="0.3">
      <c r="B48" s="23"/>
      <c r="C48" s="23"/>
      <c r="D48" s="21"/>
      <c r="E48" s="21"/>
      <c r="F48" s="21"/>
      <c r="G48" s="21"/>
      <c r="H48" s="21"/>
      <c r="I48" s="23"/>
      <c r="J48" s="23"/>
      <c r="K48" s="23"/>
      <c r="L48" s="23"/>
      <c r="M48" s="23"/>
      <c r="N48" s="23"/>
    </row>
    <row r="49" spans="2:14" x14ac:dyDescent="0.3">
      <c r="B49" s="23"/>
      <c r="C49" s="23"/>
      <c r="D49" s="21"/>
      <c r="E49" s="21"/>
      <c r="F49" s="21"/>
      <c r="G49" s="21"/>
      <c r="H49" s="21"/>
      <c r="I49" s="23"/>
      <c r="J49" s="23"/>
      <c r="K49" s="23"/>
      <c r="L49" s="23"/>
      <c r="M49" s="23"/>
      <c r="N49" s="23"/>
    </row>
    <row r="50" spans="2:14" x14ac:dyDescent="0.3">
      <c r="B50" s="23"/>
      <c r="C50" s="23"/>
      <c r="D50" s="21"/>
      <c r="E50" s="21"/>
      <c r="F50" s="21"/>
      <c r="G50" s="21"/>
      <c r="H50" s="21"/>
      <c r="I50" s="23"/>
      <c r="J50" s="23"/>
      <c r="K50" s="23"/>
      <c r="L50" s="23"/>
      <c r="M50" s="23"/>
      <c r="N50" s="23"/>
    </row>
    <row r="51" spans="2:14" x14ac:dyDescent="0.3">
      <c r="B51" s="23"/>
      <c r="C51" s="23"/>
      <c r="D51" s="21"/>
      <c r="E51" s="21"/>
      <c r="F51" s="21"/>
      <c r="G51" s="21"/>
      <c r="H51" s="21"/>
      <c r="I51" s="23"/>
      <c r="J51" s="23"/>
      <c r="K51" s="23"/>
      <c r="L51" s="23"/>
      <c r="M51" s="23"/>
      <c r="N51" s="23"/>
    </row>
    <row r="52" spans="2:14" x14ac:dyDescent="0.3">
      <c r="B52" s="23"/>
      <c r="C52" s="23"/>
      <c r="D52" s="21"/>
      <c r="E52" s="21"/>
      <c r="F52" s="21"/>
      <c r="G52" s="21"/>
      <c r="H52" s="21"/>
      <c r="I52" s="23"/>
      <c r="J52" s="23"/>
      <c r="K52" s="23"/>
      <c r="L52" s="23"/>
      <c r="M52" s="23"/>
      <c r="N52" s="23"/>
    </row>
    <row r="53" spans="2:14" x14ac:dyDescent="0.3">
      <c r="B53" s="23"/>
      <c r="C53" s="23"/>
      <c r="D53" s="21"/>
      <c r="E53" s="21"/>
      <c r="F53" s="21"/>
      <c r="G53" s="21"/>
      <c r="H53" s="21"/>
      <c r="I53" s="23"/>
      <c r="J53" s="23"/>
      <c r="K53" s="23"/>
      <c r="L53" s="23"/>
      <c r="M53" s="23"/>
      <c r="N53" s="23"/>
    </row>
    <row r="54" spans="2:14" x14ac:dyDescent="0.3">
      <c r="B54" s="23"/>
      <c r="C54" s="23"/>
      <c r="D54" s="21"/>
      <c r="E54" s="21"/>
      <c r="F54" s="21"/>
      <c r="G54" s="21"/>
      <c r="H54" s="21"/>
      <c r="I54" s="23"/>
      <c r="J54" s="23"/>
      <c r="K54" s="23"/>
      <c r="L54" s="23"/>
      <c r="M54" s="23"/>
      <c r="N54" s="23"/>
    </row>
    <row r="55" spans="2:14" x14ac:dyDescent="0.3">
      <c r="B55" s="23"/>
      <c r="C55" s="23"/>
      <c r="D55" s="21"/>
      <c r="E55" s="21"/>
      <c r="F55" s="21"/>
      <c r="G55" s="21"/>
      <c r="H55" s="21"/>
      <c r="I55" s="23"/>
      <c r="J55" s="23"/>
      <c r="K55" s="23"/>
      <c r="L55" s="23"/>
      <c r="M55" s="23"/>
      <c r="N55" s="23"/>
    </row>
    <row r="56" spans="2:14" x14ac:dyDescent="0.3">
      <c r="B56" s="23"/>
      <c r="C56" s="23"/>
      <c r="D56" s="21"/>
      <c r="E56" s="21"/>
      <c r="F56" s="21"/>
      <c r="G56" s="21"/>
      <c r="H56" s="21"/>
      <c r="I56" s="23"/>
      <c r="J56" s="23"/>
      <c r="K56" s="23"/>
      <c r="L56" s="23"/>
      <c r="M56" s="23"/>
      <c r="N56" s="23"/>
    </row>
    <row r="57" spans="2:14" x14ac:dyDescent="0.3">
      <c r="B57" s="23"/>
      <c r="C57" s="23"/>
      <c r="D57" s="21"/>
      <c r="E57" s="21"/>
      <c r="F57" s="21"/>
      <c r="G57" s="21"/>
      <c r="H57" s="21"/>
      <c r="I57" s="23"/>
      <c r="J57" s="23"/>
      <c r="K57" s="23"/>
      <c r="L57" s="23"/>
      <c r="M57" s="23"/>
      <c r="N57" s="23"/>
    </row>
    <row r="58" spans="2:14" x14ac:dyDescent="0.3">
      <c r="B58" s="23"/>
      <c r="C58" s="23"/>
      <c r="D58" s="21"/>
      <c r="E58" s="21"/>
      <c r="F58" s="21"/>
      <c r="G58" s="21"/>
      <c r="H58" s="21"/>
      <c r="I58" s="23"/>
      <c r="J58" s="23"/>
      <c r="K58" s="23"/>
      <c r="L58" s="23"/>
      <c r="M58" s="23"/>
      <c r="N58" s="23"/>
    </row>
    <row r="59" spans="2:14" x14ac:dyDescent="0.3">
      <c r="B59" s="23"/>
      <c r="C59" s="23"/>
      <c r="D59" s="21"/>
      <c r="E59" s="21"/>
      <c r="F59" s="21"/>
      <c r="G59" s="21"/>
      <c r="H59" s="21"/>
      <c r="I59" s="23"/>
      <c r="J59" s="23"/>
      <c r="K59" s="23"/>
      <c r="L59" s="23"/>
      <c r="M59" s="23"/>
      <c r="N59" s="23"/>
    </row>
    <row r="60" spans="2:14" ht="15.6" x14ac:dyDescent="0.3">
      <c r="B60" s="23"/>
      <c r="C60" s="23"/>
      <c r="D60" s="28"/>
      <c r="E60" s="28"/>
      <c r="F60" s="28"/>
      <c r="G60" s="28"/>
      <c r="H60" s="28"/>
      <c r="I60" s="23"/>
      <c r="J60" s="23"/>
      <c r="K60" s="23"/>
      <c r="L60" s="23"/>
      <c r="M60" s="23"/>
      <c r="N60" s="23"/>
    </row>
  </sheetData>
  <mergeCells count="2">
    <mergeCell ref="B1:N8"/>
    <mergeCell ref="D38:H59"/>
  </mergeCells>
  <dataValidations count="1">
    <dataValidation type="whole" allowBlank="1" showInputMessage="1" showErrorMessage="1" errorTitle="Invalid Input" error="The quantity must be a whole number between 1 and 10._x000a_" promptTitle="Quantity" prompt="Please enter a whole number between 1 and 10._x000a_" sqref="G27:G35" xr:uid="{88288E9D-405A-4B91-8809-5EE29008B266}">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D307-3249-41F0-A9C8-B749FA011D1F}">
  <dimension ref="A3:D26"/>
  <sheetViews>
    <sheetView topLeftCell="A2" zoomScale="140" zoomScaleNormal="140" workbookViewId="0">
      <selection activeCell="C26" sqref="C26"/>
    </sheetView>
  </sheetViews>
  <sheetFormatPr defaultRowHeight="14.4" x14ac:dyDescent="0.3"/>
  <cols>
    <col min="2" max="2" width="21.109375" customWidth="1"/>
  </cols>
  <sheetData>
    <row r="3" spans="1:4" x14ac:dyDescent="0.3">
      <c r="A3" s="3" t="s">
        <v>26</v>
      </c>
    </row>
    <row r="5" spans="1:4" x14ac:dyDescent="0.3">
      <c r="A5" t="s">
        <v>27</v>
      </c>
    </row>
    <row r="6" spans="1:4" x14ac:dyDescent="0.3">
      <c r="A6" t="s">
        <v>28</v>
      </c>
    </row>
    <row r="7" spans="1:4" x14ac:dyDescent="0.3">
      <c r="B7" t="s">
        <v>29</v>
      </c>
      <c r="D7" t="str">
        <f>LEFT(B7,5)</f>
        <v>Excel</v>
      </c>
    </row>
    <row r="10" spans="1:4" x14ac:dyDescent="0.3">
      <c r="A10" t="s">
        <v>30</v>
      </c>
    </row>
    <row r="11" spans="1:4" x14ac:dyDescent="0.3">
      <c r="A11" t="s">
        <v>31</v>
      </c>
    </row>
    <row r="12" spans="1:4" x14ac:dyDescent="0.3">
      <c r="B12" t="s">
        <v>32</v>
      </c>
      <c r="D12" t="str">
        <f>RIGHT(B12,4)</f>
        <v>xlsx</v>
      </c>
    </row>
    <row r="15" spans="1:4" x14ac:dyDescent="0.3">
      <c r="A15" t="s">
        <v>33</v>
      </c>
    </row>
    <row r="16" spans="1:4" x14ac:dyDescent="0.3">
      <c r="A16" t="s">
        <v>28</v>
      </c>
    </row>
    <row r="17" spans="1:4" x14ac:dyDescent="0.3">
      <c r="B17" t="s">
        <v>29</v>
      </c>
      <c r="D17" t="str">
        <f>MID(B17,6,4)</f>
        <v>Tips</v>
      </c>
    </row>
    <row r="19" spans="1:4" x14ac:dyDescent="0.3">
      <c r="A19" t="s">
        <v>34</v>
      </c>
    </row>
    <row r="20" spans="1:4" x14ac:dyDescent="0.3">
      <c r="A20" t="s">
        <v>28</v>
      </c>
    </row>
    <row r="21" spans="1:4" x14ac:dyDescent="0.3">
      <c r="B21" t="s">
        <v>35</v>
      </c>
      <c r="C21">
        <f>LEN(B21)</f>
        <v>12</v>
      </c>
    </row>
    <row r="24" spans="1:4" x14ac:dyDescent="0.3">
      <c r="A24" t="s">
        <v>37</v>
      </c>
    </row>
    <row r="25" spans="1:4" x14ac:dyDescent="0.3">
      <c r="A25" t="s">
        <v>28</v>
      </c>
    </row>
    <row r="26" spans="1:4" x14ac:dyDescent="0.3">
      <c r="B26" t="s">
        <v>36</v>
      </c>
      <c r="C26" t="str">
        <f>MID(B26,6,7)</f>
        <v>-67890-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2481D-0247-4C58-9A8A-CF5E560B33CB}">
  <dimension ref="A1:F30"/>
  <sheetViews>
    <sheetView zoomScale="113" zoomScaleNormal="150" workbookViewId="0">
      <selection activeCell="E29" sqref="E29"/>
    </sheetView>
  </sheetViews>
  <sheetFormatPr defaultRowHeight="14.4" x14ac:dyDescent="0.3"/>
  <cols>
    <col min="2" max="2" width="16.77734375" customWidth="1"/>
    <col min="3" max="3" width="20.88671875" customWidth="1"/>
    <col min="4" max="4" width="24.33203125" customWidth="1"/>
    <col min="5" max="5" width="15.21875" customWidth="1"/>
    <col min="6" max="6" width="23.5546875" customWidth="1"/>
  </cols>
  <sheetData>
    <row r="1" spans="1:6" x14ac:dyDescent="0.3">
      <c r="A1" t="s">
        <v>49</v>
      </c>
    </row>
    <row r="2" spans="1:6" x14ac:dyDescent="0.3">
      <c r="A2" t="s">
        <v>50</v>
      </c>
      <c r="B2" s="3" t="s">
        <v>38</v>
      </c>
    </row>
    <row r="3" spans="1:6" x14ac:dyDescent="0.3">
      <c r="A3" t="s">
        <v>51</v>
      </c>
    </row>
    <row r="4" spans="1:6" x14ac:dyDescent="0.3">
      <c r="A4" t="s">
        <v>52</v>
      </c>
      <c r="B4" t="s">
        <v>39</v>
      </c>
    </row>
    <row r="5" spans="1:6" x14ac:dyDescent="0.3">
      <c r="A5" t="s">
        <v>53</v>
      </c>
      <c r="B5" t="s">
        <v>28</v>
      </c>
    </row>
    <row r="6" spans="1:6" x14ac:dyDescent="0.3">
      <c r="C6" t="s">
        <v>40</v>
      </c>
      <c r="D6" t="s">
        <v>41</v>
      </c>
      <c r="E6" t="str">
        <f>_xlfn.CONCAT(C6,D6)</f>
        <v>HELLOWORLD</v>
      </c>
    </row>
    <row r="9" spans="1:6" x14ac:dyDescent="0.3">
      <c r="B9" t="s">
        <v>42</v>
      </c>
    </row>
    <row r="10" spans="1:6" x14ac:dyDescent="0.3">
      <c r="B10" t="s">
        <v>28</v>
      </c>
    </row>
    <row r="11" spans="1:6" x14ac:dyDescent="0.3">
      <c r="C11" t="s">
        <v>43</v>
      </c>
      <c r="D11" t="s">
        <v>44</v>
      </c>
      <c r="E11" t="s">
        <v>45</v>
      </c>
      <c r="F11" t="str">
        <f>_xlfn.TEXTJOIN(",",TRUE,C11,D11,E11,)</f>
        <v>APPLE,BANANA,CHERRY</v>
      </c>
    </row>
    <row r="14" spans="1:6" x14ac:dyDescent="0.3">
      <c r="B14" t="s">
        <v>46</v>
      </c>
    </row>
    <row r="15" spans="1:6" x14ac:dyDescent="0.3">
      <c r="B15" t="s">
        <v>28</v>
      </c>
    </row>
    <row r="17" spans="2:4" x14ac:dyDescent="0.3">
      <c r="D17" t="str">
        <f>"2025" &amp; ": " &amp; "Excel Functions"</f>
        <v>2025: Excel Functions</v>
      </c>
    </row>
    <row r="20" spans="2:4" x14ac:dyDescent="0.3">
      <c r="B20" t="s">
        <v>47</v>
      </c>
    </row>
    <row r="21" spans="2:4" x14ac:dyDescent="0.3">
      <c r="B21" t="s">
        <v>28</v>
      </c>
      <c r="C21" t="s">
        <v>48</v>
      </c>
    </row>
    <row r="22" spans="2:4" x14ac:dyDescent="0.3">
      <c r="C22" t="str">
        <f>_xlfn.TEXTJOIN(",",TRUE,A1:A5)</f>
        <v>A,B,C,D,E</v>
      </c>
    </row>
    <row r="25" spans="2:4" x14ac:dyDescent="0.3">
      <c r="B25" t="s">
        <v>54</v>
      </c>
    </row>
    <row r="26" spans="2:4" x14ac:dyDescent="0.3">
      <c r="B26" t="s">
        <v>28</v>
      </c>
    </row>
    <row r="27" spans="2:4" x14ac:dyDescent="0.3">
      <c r="B27" t="s">
        <v>55</v>
      </c>
      <c r="C27" t="s">
        <v>56</v>
      </c>
      <c r="D27" t="s">
        <v>63</v>
      </c>
    </row>
    <row r="28" spans="2:4" x14ac:dyDescent="0.3">
      <c r="B28" t="s">
        <v>57</v>
      </c>
      <c r="C28" t="s">
        <v>58</v>
      </c>
      <c r="D28" t="str">
        <f>_xlfn.CONCAT($B28," ",$C28)</f>
        <v>SALMAN KHAN</v>
      </c>
    </row>
    <row r="29" spans="2:4" x14ac:dyDescent="0.3">
      <c r="B29" t="s">
        <v>59</v>
      </c>
      <c r="C29" t="s">
        <v>60</v>
      </c>
      <c r="D29" t="str">
        <f t="shared" ref="D29:D30" si="0">_xlfn.CONCAT($B29," ",$C29)</f>
        <v>HRITIK  ROSHAN</v>
      </c>
    </row>
    <row r="30" spans="2:4" x14ac:dyDescent="0.3">
      <c r="B30" t="s">
        <v>61</v>
      </c>
      <c r="C30" t="s">
        <v>62</v>
      </c>
      <c r="D30" t="str">
        <f t="shared" si="0"/>
        <v>MS DHONI</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9C16-82EA-4BBF-AD8F-25E81F7C7DB2}">
  <dimension ref="A1:F34"/>
  <sheetViews>
    <sheetView tabSelected="1" zoomScale="140" zoomScaleNormal="140" workbookViewId="0">
      <selection activeCell="D34" sqref="D34"/>
    </sheetView>
  </sheetViews>
  <sheetFormatPr defaultRowHeight="14.4" x14ac:dyDescent="0.3"/>
  <cols>
    <col min="2" max="2" width="17.5546875" customWidth="1"/>
    <col min="3" max="3" width="19" customWidth="1"/>
    <col min="4" max="4" width="9.33203125" bestFit="1" customWidth="1"/>
    <col min="5" max="5" width="17" customWidth="1"/>
    <col min="6" max="6" width="16" bestFit="1" customWidth="1"/>
  </cols>
  <sheetData>
    <row r="1" spans="1:6" x14ac:dyDescent="0.3">
      <c r="A1" s="3" t="s">
        <v>64</v>
      </c>
    </row>
    <row r="3" spans="1:6" x14ac:dyDescent="0.3">
      <c r="A3" t="s">
        <v>65</v>
      </c>
    </row>
    <row r="4" spans="1:6" x14ac:dyDescent="0.3">
      <c r="A4" t="s">
        <v>31</v>
      </c>
    </row>
    <row r="5" spans="1:6" x14ac:dyDescent="0.3">
      <c r="B5" t="s">
        <v>66</v>
      </c>
      <c r="C5" t="s">
        <v>67</v>
      </c>
      <c r="F5" s="12">
        <f ca="1">TODAY()</f>
        <v>46008</v>
      </c>
    </row>
    <row r="6" spans="1:6" x14ac:dyDescent="0.3">
      <c r="B6" t="s">
        <v>68</v>
      </c>
      <c r="C6" t="s">
        <v>69</v>
      </c>
      <c r="F6" s="13">
        <f ca="1">NOW()</f>
        <v>46008.480425694448</v>
      </c>
    </row>
    <row r="10" spans="1:6" x14ac:dyDescent="0.3">
      <c r="A10" t="s">
        <v>70</v>
      </c>
    </row>
    <row r="11" spans="1:6" x14ac:dyDescent="0.3">
      <c r="A11" t="s">
        <v>28</v>
      </c>
    </row>
    <row r="12" spans="1:6" x14ac:dyDescent="0.3">
      <c r="B12" s="14">
        <v>45818</v>
      </c>
      <c r="C12" s="14"/>
      <c r="D12" s="15">
        <f ca="1">B12-TODAY()</f>
        <v>-190</v>
      </c>
    </row>
    <row r="13" spans="1:6" x14ac:dyDescent="0.3">
      <c r="B13" s="12"/>
      <c r="C13" s="12"/>
    </row>
    <row r="14" spans="1:6" x14ac:dyDescent="0.3">
      <c r="C14" s="12"/>
    </row>
    <row r="15" spans="1:6" x14ac:dyDescent="0.3">
      <c r="A15" t="s">
        <v>71</v>
      </c>
    </row>
    <row r="16" spans="1:6" x14ac:dyDescent="0.3">
      <c r="A16" t="s">
        <v>28</v>
      </c>
    </row>
    <row r="17" spans="1:2" x14ac:dyDescent="0.3">
      <c r="B17" s="13">
        <f ca="1">NOW()</f>
        <v>46008.480425694448</v>
      </c>
    </row>
    <row r="21" spans="1:2" x14ac:dyDescent="0.3">
      <c r="A21" t="s">
        <v>72</v>
      </c>
    </row>
    <row r="22" spans="1:2" x14ac:dyDescent="0.3">
      <c r="A22" t="s">
        <v>28</v>
      </c>
    </row>
    <row r="23" spans="1:2" x14ac:dyDescent="0.3">
      <c r="B23" t="s">
        <v>73</v>
      </c>
    </row>
    <row r="25" spans="1:2" x14ac:dyDescent="0.3">
      <c r="B25" t="s">
        <v>74</v>
      </c>
    </row>
    <row r="27" spans="1:2" x14ac:dyDescent="0.3">
      <c r="B27" t="s">
        <v>75</v>
      </c>
    </row>
    <row r="31" spans="1:2" x14ac:dyDescent="0.3">
      <c r="A31" t="s">
        <v>76</v>
      </c>
    </row>
    <row r="32" spans="1:2" x14ac:dyDescent="0.3">
      <c r="A32" t="s">
        <v>28</v>
      </c>
    </row>
    <row r="33" spans="2:3" x14ac:dyDescent="0.3">
      <c r="B33" t="s">
        <v>77</v>
      </c>
    </row>
    <row r="34" spans="2:3" x14ac:dyDescent="0.3">
      <c r="C34" s="12">
        <v>46001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Vicky Nagpure</cp:lastModifiedBy>
  <dcterms:created xsi:type="dcterms:W3CDTF">2025-12-08T16:41:04Z</dcterms:created>
  <dcterms:modified xsi:type="dcterms:W3CDTF">2025-12-17T06:08:34Z</dcterms:modified>
</cp:coreProperties>
</file>