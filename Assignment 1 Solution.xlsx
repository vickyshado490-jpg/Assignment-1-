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W Skills Data Analysis\1st\"/>
    </mc:Choice>
  </mc:AlternateContent>
  <xr:revisionPtr revIDLastSave="0" documentId="13_ncr:1_{310D1F09-25F5-428E-8322-1D39DDF95E09}" xr6:coauthVersionLast="47" xr6:coauthVersionMax="47" xr10:uidLastSave="{00000000-0000-0000-0000-000000000000}"/>
  <bookViews>
    <workbookView xWindow="-108" yWindow="-108" windowWidth="23256" windowHeight="12576" xr2:uid="{05A50484-9147-44F3-A279-7F37243D6503}"/>
  </bookViews>
  <sheets>
    <sheet name="Question 1, 2,3" sheetId="5" r:id="rId1"/>
    <sheet name="Question 4,5,6,8" sheetId="6" r:id="rId2"/>
    <sheet name="Question 7" sheetId="8" r:id="rId3"/>
  </sheets>
  <calcPr calcId="191029"/>
</workbook>
</file>

<file path=xl/calcChain.xml><?xml version="1.0" encoding="utf-8"?>
<calcChain xmlns="http://schemas.openxmlformats.org/spreadsheetml/2006/main">
  <c r="C6" i="5" l="1"/>
  <c r="D15" i="5"/>
  <c r="J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2" i="6"/>
  <c r="H3" i="6"/>
</calcChain>
</file>

<file path=xl/sharedStrings.xml><?xml version="1.0" encoding="utf-8"?>
<sst xmlns="http://schemas.openxmlformats.org/spreadsheetml/2006/main" count="198" uniqueCount="99">
  <si>
    <t>Bicycle</t>
  </si>
  <si>
    <t xml:space="preserve"> Auto-Rickshaw</t>
  </si>
  <si>
    <t>Car Bicycle 25000</t>
  </si>
  <si>
    <t xml:space="preserve">Vehicle </t>
  </si>
  <si>
    <t>Price</t>
  </si>
  <si>
    <t xml:space="preserve">Item </t>
  </si>
  <si>
    <t xml:space="preserve">Price </t>
  </si>
  <si>
    <t>Sales</t>
  </si>
  <si>
    <t>Item B</t>
  </si>
  <si>
    <t>Item C</t>
  </si>
  <si>
    <t>Item A</t>
  </si>
  <si>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</si>
  <si>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</si>
  <si>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</si>
  <si>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</si>
  <si>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</si>
  <si>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</si>
  <si>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</si>
  <si>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</si>
  <si>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</si>
  <si>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</si>
  <si>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</si>
  <si>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</si>
  <si>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</si>
  <si>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</si>
  <si>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</si>
  <si>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</si>
  <si>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</si>
  <si>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</si>
  <si>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</si>
  <si>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</si>
  <si>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</si>
  <si>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</si>
  <si>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</si>
  <si>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Meera Nair</t>
  </si>
  <si>
    <t>Anjali Rao</t>
  </si>
  <si>
    <t>Manoj Das</t>
  </si>
  <si>
    <t>Ritika Sen</t>
  </si>
  <si>
    <t>Karan Malhotra</t>
  </si>
  <si>
    <t>Aryan Joshi</t>
  </si>
  <si>
    <t>Divya Kapoor</t>
  </si>
  <si>
    <t>Sahil Arora</t>
  </si>
  <si>
    <t>Muskan Jain</t>
  </si>
  <si>
    <t>Rohan Gupta</t>
  </si>
  <si>
    <t>Nidhi Sharma</t>
  </si>
  <si>
    <t>Tarun Verma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</si>
  <si>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</si>
  <si>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</si>
  <si>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</si>
  <si>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</si>
  <si>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</si>
  <si>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</si>
  <si>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</si>
  <si>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</si>
  <si>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</si>
  <si>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</si>
  <si>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</si>
  <si>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Harsh Yadav</t>
  </si>
  <si>
    <t>Kajal Rani</t>
  </si>
  <si>
    <t>Varun Sharma</t>
  </si>
  <si>
    <t>Swati Arora</t>
  </si>
  <si>
    <t>Akhil Jain</t>
  </si>
  <si>
    <t>Priyanka Das</t>
  </si>
  <si>
    <t>Ravi Nair</t>
  </si>
  <si>
    <t>Komal Singh</t>
  </si>
  <si>
    <t>Ayesha Khan</t>
  </si>
  <si>
    <t>Arjun Mehta</t>
  </si>
  <si>
    <t>Sonali Gupta</t>
  </si>
  <si>
    <t>Neeraj Kapoor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</si>
  <si>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</si>
  <si>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</si>
  <si>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</si>
  <si>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</si>
  <si>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</si>
  <si>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</si>
  <si>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</si>
  <si>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</si>
  <si>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Total Sales</t>
  </si>
  <si>
    <t>Total sales of Notebooks in North region only</t>
  </si>
  <si>
    <t>Total Count recorded customer</t>
  </si>
  <si>
    <t>Question4 --&gt; Count how many customer names are recorded</t>
  </si>
  <si>
    <t>Answer --&gt; COUNTA(B2:B51)</t>
  </si>
  <si>
    <t>Total Customers recorded</t>
  </si>
  <si>
    <t>Question 5 --&gt; Calculate the Total Sales for each row using a formula.</t>
  </si>
  <si>
    <t>Answer --&gt; Column I ( Total sale for each row)</t>
  </si>
  <si>
    <t>Question 6 --&gt; Calculate the total sales of Notebooks in the North region only</t>
  </si>
  <si>
    <t>Answer - SUMIFS(I2:I51,D2:D51,"Notebook",C2:C51,"North")</t>
  </si>
  <si>
    <t>Question 8 --&gt; Insert a line chart showing daily sales trend.</t>
  </si>
  <si>
    <t>Answer - Below</t>
  </si>
  <si>
    <t>Answer</t>
  </si>
  <si>
    <t>AVERAGEIFS(C11:C13, B11:B13, "&gt;100", B11:B13, "&lt;300")</t>
  </si>
  <si>
    <t>Question 3 : Using the data below, write a formula to calculate the average sales of items priced above 100 but less than 300</t>
  </si>
  <si>
    <t>Question 2: Write a formula to calculate the total sales of Car and Bicyle only.</t>
  </si>
  <si>
    <t>SUMIF(B2:B4,"=500000")+SUMIF(B2:B4,"=10500")</t>
  </si>
  <si>
    <t>Question 1:</t>
  </si>
  <si>
    <t>E2*F2</t>
  </si>
  <si>
    <t xml:space="preserve"> Explain the difference between Relative , Absolute and Mixed Cell Referencing.</t>
  </si>
  <si>
    <t>There are two types of cell references: relative and absolute. Relative and absolute references behave differently when copied and filled to other cells. Relative references change when a formula is copied to another cell. Absolute references, on the other hand, remain constant no matter where they are copied.</t>
  </si>
  <si>
    <t>Question 7 --&gt; Create a column chart showing total sales by product.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</si>
</sst>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10" xfId="0" applyFont="1" applyBorder="1" applyAlignment="1">
      <alignment wrapText="1"/>
    </xf>
    <xf numFmtId="0" fontId="19" fillId="0" borderId="10" xfId="0" applyFont="1" applyBorder="1" applyAlignment="1">
      <alignment horizontal="right" wrapText="1"/>
    </xf>
    <xf numFmtId="0" fontId="19" fillId="0" borderId="10" xfId="0" applyFont="1" applyBorder="1" applyAlignment="1">
      <alignment wrapText="1"/>
    </xf>
    <xf numFmtId="14" fontId="19" fillId="0" borderId="10" xfId="0" applyNumberFormat="1" applyFont="1" applyBorder="1" applyAlignment="1">
      <alignment horizontal="right" wrapText="1"/>
    </xf>
    <xf numFmtId="0" fontId="18" fillId="0" borderId="11" xfId="0" applyFont="1" applyBorder="1" applyAlignment="1">
      <alignment wrapText="1"/>
    </xf>
    <xf numFmtId="0" fontId="18" fillId="0" borderId="12" xfId="0" applyFont="1" applyBorder="1" applyAlignment="1">
      <alignment wrapText="1"/>
    </xf>
    <xf numFmtId="0" fontId="0" fillId="33" borderId="0" xfId="0" applyFill="1"/>
    <xf numFmtId="0" fontId="18" fillId="0" borderId="13" xfId="0" applyFont="1" applyBorder="1" applyAlignment="1">
      <alignment wrapText="1"/>
    </xf>
    <xf numFmtId="0" fontId="19" fillId="0" borderId="13" xfId="0" applyFont="1" applyBorder="1" applyAlignment="1">
      <alignment wrapText="1"/>
    </xf>
    <xf numFmtId="0" fontId="0" fillId="0" borderId="13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'Question 4,5,6,8'!$I$1</c:f>
              <c:strCache>
                <c:ptCount val="1"/>
                <c:pt idx="0">
                  <c:v>Total Sales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'Question 4,5,6,8'!$G$2:$G$51</c:f>
              <c:numCache>
                <c:formatCode>m/d/yyyy</c:formatCode>
                <c:ptCount val="50"/>
                <c:pt idx="0">
                  <c:v>45296</c:v>
                </c:pt>
                <c:pt idx="1">
                  <c:v>45297</c:v>
                </c:pt>
                <c:pt idx="2">
                  <c:v>45298</c:v>
                </c:pt>
                <c:pt idx="3">
                  <c:v>45299</c:v>
                </c:pt>
                <c:pt idx="4">
                  <c:v>45301</c:v>
                </c:pt>
                <c:pt idx="5">
                  <c:v>45302</c:v>
                </c:pt>
                <c:pt idx="6">
                  <c:v>45304</c:v>
                </c:pt>
                <c:pt idx="7">
                  <c:v>45306</c:v>
                </c:pt>
                <c:pt idx="8">
                  <c:v>45308</c:v>
                </c:pt>
                <c:pt idx="9">
                  <c:v>45309</c:v>
                </c:pt>
                <c:pt idx="10">
                  <c:v>45310</c:v>
                </c:pt>
                <c:pt idx="11">
                  <c:v>45311</c:v>
                </c:pt>
                <c:pt idx="12">
                  <c:v>45313</c:v>
                </c:pt>
                <c:pt idx="13">
                  <c:v>45314</c:v>
                </c:pt>
                <c:pt idx="14">
                  <c:v>45315</c:v>
                </c:pt>
                <c:pt idx="15">
                  <c:v>45317</c:v>
                </c:pt>
                <c:pt idx="16">
                  <c:v>45319</c:v>
                </c:pt>
                <c:pt idx="17">
                  <c:v>45320</c:v>
                </c:pt>
                <c:pt idx="18">
                  <c:v>45321</c:v>
                </c:pt>
                <c:pt idx="19">
                  <c:v>45323</c:v>
                </c:pt>
                <c:pt idx="20">
                  <c:v>45324</c:v>
                </c:pt>
                <c:pt idx="21">
                  <c:v>45325</c:v>
                </c:pt>
                <c:pt idx="22">
                  <c:v>45326</c:v>
                </c:pt>
                <c:pt idx="23">
                  <c:v>45328</c:v>
                </c:pt>
                <c:pt idx="24">
                  <c:v>45329</c:v>
                </c:pt>
                <c:pt idx="25">
                  <c:v>45330</c:v>
                </c:pt>
                <c:pt idx="26">
                  <c:v>45331</c:v>
                </c:pt>
                <c:pt idx="27">
                  <c:v>45332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45338</c:v>
                </c:pt>
                <c:pt idx="32">
                  <c:v>45339</c:v>
                </c:pt>
                <c:pt idx="33">
                  <c:v>45340</c:v>
                </c:pt>
                <c:pt idx="34">
                  <c:v>45341</c:v>
                </c:pt>
                <c:pt idx="35">
                  <c:v>45343</c:v>
                </c:pt>
                <c:pt idx="36">
                  <c:v>45344</c:v>
                </c:pt>
                <c:pt idx="37">
                  <c:v>45345</c:v>
                </c:pt>
                <c:pt idx="38">
                  <c:v>45347</c:v>
                </c:pt>
                <c:pt idx="39">
                  <c:v>45348</c:v>
                </c:pt>
                <c:pt idx="40">
                  <c:v>45349</c:v>
                </c:pt>
                <c:pt idx="41">
                  <c:v>45350</c:v>
                </c:pt>
                <c:pt idx="42">
                  <c:v>45352</c:v>
                </c:pt>
                <c:pt idx="43">
                  <c:v>45353</c:v>
                </c:pt>
                <c:pt idx="44">
                  <c:v>45354</c:v>
                </c:pt>
                <c:pt idx="45">
                  <c:v>45355</c:v>
                </c:pt>
                <c:pt idx="46">
                  <c:v>45356</c:v>
                </c:pt>
                <c:pt idx="47">
                  <c:v>45357</c:v>
                </c:pt>
                <c:pt idx="48">
                  <c:v>45358</c:v>
                </c:pt>
                <c:pt idx="49">
                  <c:v>45359</c:v>
                </c:pt>
              </c:numCache>
            </c:numRef>
          </c:cat>
          <c:val>
            <c:numRef>
              <c:f>'Question 4,5,6,8'!$I$2:$I$51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76-46EC-BBA7-178B4CD87E9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526910032"/>
        <c:axId val="526910512"/>
      </c:lineChart>
      <c:dateAx>
        <c:axId val="5269100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910512"/>
        <c:crosses val="autoZero"/>
        <c:auto val="1"/>
        <c:lblOffset val="100"/>
        <c:baseTimeUnit val="days"/>
      </c:dateAx>
      <c:valAx>
        <c:axId val="5269105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26910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'Question 7'!$B$1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'Question 7'!$A$2:$A$6</c:f>
              <c:strCache>
                <c:ptCount val="5"/>
                <c:pt idx="0">
                  <c:v>Notebook</c:v>
                </c:pt>
                <c:pt idx="1">
                  <c:v>Pen</c:v>
                </c:pt>
                <c:pt idx="2">
                  <c:v>Marker</c:v>
                </c:pt>
                <c:pt idx="3">
                  <c:v>Pencil</c:v>
                </c:pt>
                <c:pt idx="4">
                  <c:v>Eraser</c:v>
                </c:pt>
              </c:strCache>
            </c:strRef>
          </c:cat>
          <c:val>
            <c:numRef>
              <c:f>'Question 7'!$B$2:$B$6</c:f>
              <c:numCache>
                <c:formatCode>General</c:formatCode>
                <c:ptCount val="5"/>
                <c:pt idx="0">
                  <c:v>7550</c:v>
                </c:pt>
                <c:pt idx="1">
                  <c:v>2180</c:v>
                </c:pt>
                <c:pt idx="2">
                  <c:v>3650</c:v>
                </c:pt>
                <c:pt idx="3">
                  <c:v>1235</c:v>
                </c:pt>
                <c:pt idx="4">
                  <c:v>1928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1C-4F1B-8C5F-172E4EAAD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6930463"/>
        <c:axId val="1986922303"/>
      </c:barChart>
      <c:catAx>
        <c:axId val="1986930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922303"/>
        <c:crosses val="autoZero"/>
        <c:auto val="1"/>
        <c:lblAlgn val="ctr"/>
        <c:lblOffset val="100"/>
        <c:noMultiLvlLbl val="0"/>
      </c:catAx>
      <c:valAx>
        <c:axId val="1986922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930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472440</xdr:colOff>
      <xdr:row>16</xdr:row>
      <xdr:rowOff>300990</xdr:rowOff>
    </xdr:from>
    <xdr:to>
      <xdr:col>21</xdr:col>
      <xdr:colOff>487680</xdr:colOff>
      <xdr:row>33</xdr:row>
      <xdr:rowOff>182880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FC5DBD-E076-16E7-536A-9780CB5465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548640</xdr:colOff>
      <xdr:row>3</xdr:row>
      <xdr:rowOff>60960</xdr:rowOff>
    </xdr:from>
    <xdr:to>
      <xdr:col>8</xdr:col>
      <xdr:colOff>182880</xdr:colOff>
      <xdr:row>17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CFDDB6-C4AE-E1C0-4995-EB08285981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A0A30-1F3E-438C-B5B1-FD79E8674C19}">
  <dimension ref="A1:D20"/>
  <sheetViews>
    <sheetView tabSelected="1" workbookViewId="0">
      <selection activeCell="M12" sqref="M12"/>
    </sheetView>
  </sheetViews>
  <sheetFormatPr defaultRowHeight="14.4" x14ac:dyDescent="0.3"/>
  <sheetData>
    <row r="1" spans="1:4" x14ac:dyDescent="0.3">
      <c r="A1" t="s">
        <v>3</v>
      </c>
      <c r="B1" t="s">
        <v>4</v>
      </c>
      <c r="C1" s="7" t="s">
        <v>92</v>
      </c>
    </row>
    <row r="2" spans="1:4" x14ac:dyDescent="0.3">
      <c r="A2" t="s">
        <v>2</v>
      </c>
      <c r="B2">
        <v>500000</v>
      </c>
    </row>
    <row r="3" spans="1:4" x14ac:dyDescent="0.3">
      <c r="A3" t="s">
        <v>0</v>
      </c>
      <c r="B3">
        <v>10500</v>
      </c>
    </row>
    <row r="4" spans="1:4" x14ac:dyDescent="0.3">
      <c r="A4" t="s">
        <v>1</v>
      </c>
      <c r="B4">
        <v>25000</v>
      </c>
    </row>
    <row r="6" spans="1:4" x14ac:dyDescent="0.3">
      <c r="B6" t="s">
        <v>89</v>
      </c>
      <c r="C6" s="7">
        <f>SUMIF(B2:B4,"=500000")+SUMIF(B2:B4,"=10500")</f>
        <v>510500</v>
      </c>
    </row>
    <row r="7" spans="1:4" x14ac:dyDescent="0.3">
      <c r="C7" t="s">
        <v>93</v>
      </c>
    </row>
    <row r="9" spans="1:4" x14ac:dyDescent="0.3">
      <c r="A9" s="7" t="s">
        <v>91</v>
      </c>
    </row>
    <row r="10" spans="1:4" x14ac:dyDescent="0.3">
      <c r="A10" t="s">
        <v>5</v>
      </c>
      <c r="B10" t="s">
        <v>6</v>
      </c>
      <c r="C10" t="s">
        <v>7</v>
      </c>
    </row>
    <row r="11" spans="1:4" x14ac:dyDescent="0.3">
      <c r="A11" t="s">
        <v>10</v>
      </c>
      <c r="B11">
        <v>90</v>
      </c>
      <c r="C11">
        <v>1000</v>
      </c>
    </row>
    <row r="12" spans="1:4" x14ac:dyDescent="0.3">
      <c r="A12" t="s">
        <v>8</v>
      </c>
      <c r="B12">
        <v>150</v>
      </c>
      <c r="C12">
        <v>1200</v>
      </c>
    </row>
    <row r="13" spans="1:4" x14ac:dyDescent="0.3">
      <c r="A13" t="s">
        <v>9</v>
      </c>
      <c r="B13">
        <v>200</v>
      </c>
      <c r="C13">
        <v>1500</v>
      </c>
    </row>
    <row r="15" spans="1:4" x14ac:dyDescent="0.3">
      <c r="C15" t="s">
        <v>89</v>
      </c>
      <c r="D15" s="7">
        <f>AVERAGEIFS(C11:C13, B11:B13, "&gt;100", B11:B13, "&lt;300")</f>
        <v>1350</v>
      </c>
    </row>
    <row r="16" spans="1:4" x14ac:dyDescent="0.3">
      <c r="D16" t="s">
        <v>90</v>
      </c>
    </row>
    <row r="19" spans="1:2" x14ac:dyDescent="0.3">
      <c r="A19" s="7" t="s">
        <v>94</v>
      </c>
      <c r="B19" t="s">
        <v>96</v>
      </c>
    </row>
    <row r="20" spans="1:2" x14ac:dyDescent="0.3">
      <c r="B20" t="s">
        <v>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BD663-9138-46D3-AA45-8C22836720ED}">
  <dimension ref="A1:T51"/>
  <sheetViews>
    <sheetView workbookViewId="0">
      <selection activeCell="O15" sqref="O15"/>
    </sheetView>
  </sheetViews>
  <sheetFormatPr defaultRowHeight="14.4" x14ac:dyDescent="0.3"/>
  <cols>
    <col min="2" max="2" width="12.21875" customWidth="1"/>
    <col min="4" max="4" width="9.21875" bestFit="1" customWidth="1"/>
    <col min="7" max="7" width="10.33203125" bestFit="1" customWidth="1"/>
    <col min="9" max="9" width="13.21875" customWidth="1"/>
    <col min="10" max="10" width="8.44140625" bestFit="1" customWidth="1"/>
    <col min="15" max="15" width="65.21875" bestFit="1" customWidth="1"/>
  </cols>
  <sheetData>
    <row r="1" spans="1:20" ht="101.4" thickBot="1" x14ac:dyDescent="0.3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6" t="s">
        <v>79</v>
      </c>
      <c r="I1" s="5" t="s">
        <v>77</v>
      </c>
      <c r="J1" s="5" t="s">
        <v>78</v>
      </c>
    </row>
    <row r="2" spans="1:20" ht="29.4" thickBot="1" x14ac:dyDescent="0.35">
      <c r="A2" s="2">
        <v>1001</v>
      </c>
      <c r="B2" s="3" t="s">
        <v>18</v>
      </c>
      <c r="C2" s="3" t="s">
        <v>19</v>
      </c>
      <c r="D2" s="3" t="s">
        <v>20</v>
      </c>
      <c r="E2" s="2">
        <v>10</v>
      </c>
      <c r="F2" s="2">
        <v>50</v>
      </c>
      <c r="G2" s="4">
        <v>45296</v>
      </c>
      <c r="I2">
        <f>E2*F2</f>
        <v>500</v>
      </c>
      <c r="J2">
        <f>SUMIFS(I2:I51,D2:D51,"Notebook",C2:C51,"North")</f>
        <v>2900</v>
      </c>
      <c r="O2" s="7" t="s">
        <v>80</v>
      </c>
    </row>
    <row r="3" spans="1:20" ht="15" thickBot="1" x14ac:dyDescent="0.35">
      <c r="A3" s="2">
        <v>1002</v>
      </c>
      <c r="B3" s="3" t="s">
        <v>21</v>
      </c>
      <c r="C3" s="3" t="s">
        <v>22</v>
      </c>
      <c r="D3" s="3" t="s">
        <v>23</v>
      </c>
      <c r="E3" s="2">
        <v>20</v>
      </c>
      <c r="F3" s="2">
        <v>10</v>
      </c>
      <c r="G3" s="4">
        <v>45297</v>
      </c>
      <c r="H3">
        <f>COUNTA(C2:C51)</f>
        <v>50</v>
      </c>
      <c r="I3">
        <f t="shared" ref="I3:I51" si="0">E3*F3</f>
        <v>200</v>
      </c>
      <c r="O3" t="s">
        <v>81</v>
      </c>
    </row>
    <row r="4" spans="1:20" ht="15" thickBot="1" x14ac:dyDescent="0.35">
      <c r="A4" s="2">
        <v>1003</v>
      </c>
      <c r="B4" s="3" t="s">
        <v>24</v>
      </c>
      <c r="C4" s="3" t="s">
        <v>25</v>
      </c>
      <c r="D4" s="3" t="s">
        <v>26</v>
      </c>
      <c r="E4" s="2">
        <v>15</v>
      </c>
      <c r="F4" s="2">
        <v>25</v>
      </c>
      <c r="G4" s="4">
        <v>45298</v>
      </c>
      <c r="I4">
        <f t="shared" si="0"/>
        <v>375</v>
      </c>
      <c r="O4" t="s">
        <v>82</v>
      </c>
    </row>
    <row r="5" spans="1:20" ht="15" thickBot="1" x14ac:dyDescent="0.35">
      <c r="A5" s="2">
        <v>1004</v>
      </c>
      <c r="B5" s="3" t="s">
        <v>27</v>
      </c>
      <c r="C5" s="3" t="s">
        <v>28</v>
      </c>
      <c r="D5" s="3" t="s">
        <v>20</v>
      </c>
      <c r="E5" s="2">
        <v>5</v>
      </c>
      <c r="F5" s="2">
        <v>50</v>
      </c>
      <c r="G5" s="4">
        <v>45299</v>
      </c>
      <c r="I5">
        <f t="shared" si="0"/>
        <v>250</v>
      </c>
      <c r="O5">
        <v>50</v>
      </c>
    </row>
    <row r="6" spans="1:20" ht="15" thickBot="1" x14ac:dyDescent="0.35">
      <c r="A6" s="2">
        <v>1005</v>
      </c>
      <c r="B6" s="3" t="s">
        <v>29</v>
      </c>
      <c r="C6" s="3" t="s">
        <v>19</v>
      </c>
      <c r="D6" s="3" t="s">
        <v>30</v>
      </c>
      <c r="E6" s="2">
        <v>30</v>
      </c>
      <c r="F6" s="2">
        <v>5</v>
      </c>
      <c r="G6" s="4">
        <v>45301</v>
      </c>
      <c r="I6">
        <f t="shared" si="0"/>
        <v>150</v>
      </c>
    </row>
    <row r="7" spans="1:20" ht="15" thickBot="1" x14ac:dyDescent="0.35">
      <c r="A7" s="2">
        <v>1006</v>
      </c>
      <c r="B7" s="3" t="s">
        <v>31</v>
      </c>
      <c r="C7" s="3" t="s">
        <v>22</v>
      </c>
      <c r="D7" s="3" t="s">
        <v>20</v>
      </c>
      <c r="E7" s="2">
        <v>12</v>
      </c>
      <c r="F7" s="2">
        <v>50</v>
      </c>
      <c r="G7" s="4">
        <v>45302</v>
      </c>
      <c r="I7">
        <f t="shared" si="0"/>
        <v>600</v>
      </c>
    </row>
    <row r="8" spans="1:20" ht="15" thickBot="1" x14ac:dyDescent="0.35">
      <c r="A8" s="2">
        <v>1007</v>
      </c>
      <c r="B8" s="3" t="s">
        <v>32</v>
      </c>
      <c r="C8" s="3" t="s">
        <v>25</v>
      </c>
      <c r="D8" s="3" t="s">
        <v>33</v>
      </c>
      <c r="E8" s="2">
        <v>25</v>
      </c>
      <c r="F8" s="2">
        <v>8</v>
      </c>
      <c r="G8" s="4">
        <v>45304</v>
      </c>
      <c r="I8">
        <f t="shared" si="0"/>
        <v>200</v>
      </c>
      <c r="O8" s="7" t="s">
        <v>83</v>
      </c>
    </row>
    <row r="9" spans="1:20" ht="15" thickBot="1" x14ac:dyDescent="0.35">
      <c r="A9" s="2">
        <v>1008</v>
      </c>
      <c r="B9" s="3" t="s">
        <v>34</v>
      </c>
      <c r="C9" s="3" t="s">
        <v>28</v>
      </c>
      <c r="D9" s="3" t="s">
        <v>23</v>
      </c>
      <c r="E9" s="2">
        <v>18</v>
      </c>
      <c r="F9" s="2">
        <v>10</v>
      </c>
      <c r="G9" s="4">
        <v>45306</v>
      </c>
      <c r="I9">
        <f t="shared" si="0"/>
        <v>180</v>
      </c>
      <c r="O9" t="s">
        <v>84</v>
      </c>
      <c r="T9" t="s">
        <v>95</v>
      </c>
    </row>
    <row r="10" spans="1:20" ht="15" thickBot="1" x14ac:dyDescent="0.35">
      <c r="A10" s="2">
        <v>1009</v>
      </c>
      <c r="B10" s="3" t="s">
        <v>35</v>
      </c>
      <c r="C10" s="3" t="s">
        <v>19</v>
      </c>
      <c r="D10" s="3" t="s">
        <v>26</v>
      </c>
      <c r="E10" s="2">
        <v>22</v>
      </c>
      <c r="F10" s="2">
        <v>25</v>
      </c>
      <c r="G10" s="4">
        <v>45308</v>
      </c>
      <c r="I10">
        <f t="shared" si="0"/>
        <v>550</v>
      </c>
    </row>
    <row r="11" spans="1:20" ht="15" thickBot="1" x14ac:dyDescent="0.35">
      <c r="A11" s="2">
        <v>1010</v>
      </c>
      <c r="B11" s="3" t="s">
        <v>36</v>
      </c>
      <c r="C11" s="3" t="s">
        <v>22</v>
      </c>
      <c r="D11" s="3" t="s">
        <v>20</v>
      </c>
      <c r="E11" s="2">
        <v>8</v>
      </c>
      <c r="F11" s="2">
        <v>50</v>
      </c>
      <c r="G11" s="4">
        <v>45309</v>
      </c>
      <c r="I11">
        <f t="shared" si="0"/>
        <v>400</v>
      </c>
      <c r="O11" s="7" t="s">
        <v>85</v>
      </c>
    </row>
    <row r="12" spans="1:20" ht="15" thickBot="1" x14ac:dyDescent="0.35">
      <c r="A12" s="2">
        <v>1011</v>
      </c>
      <c r="B12" s="3" t="s">
        <v>37</v>
      </c>
      <c r="C12" s="3" t="s">
        <v>25</v>
      </c>
      <c r="D12" s="3" t="s">
        <v>30</v>
      </c>
      <c r="E12" s="2">
        <v>40</v>
      </c>
      <c r="F12" s="2">
        <v>5</v>
      </c>
      <c r="G12" s="4">
        <v>45310</v>
      </c>
      <c r="I12">
        <f t="shared" si="0"/>
        <v>200</v>
      </c>
      <c r="O12" t="s">
        <v>86</v>
      </c>
    </row>
    <row r="13" spans="1:20" ht="29.4" thickBot="1" x14ac:dyDescent="0.35">
      <c r="A13" s="2">
        <v>1012</v>
      </c>
      <c r="B13" s="3" t="s">
        <v>38</v>
      </c>
      <c r="C13" s="3" t="s">
        <v>28</v>
      </c>
      <c r="D13" s="3" t="s">
        <v>33</v>
      </c>
      <c r="E13" s="2">
        <v>35</v>
      </c>
      <c r="F13" s="2">
        <v>8</v>
      </c>
      <c r="G13" s="4">
        <v>45311</v>
      </c>
      <c r="I13">
        <f t="shared" si="0"/>
        <v>280</v>
      </c>
    </row>
    <row r="14" spans="1:20" ht="15" thickBot="1" x14ac:dyDescent="0.35">
      <c r="A14" s="2">
        <v>1013</v>
      </c>
      <c r="B14" s="3" t="s">
        <v>39</v>
      </c>
      <c r="C14" s="3" t="s">
        <v>19</v>
      </c>
      <c r="D14" s="3" t="s">
        <v>20</v>
      </c>
      <c r="E14" s="2">
        <v>14</v>
      </c>
      <c r="F14" s="2">
        <v>50</v>
      </c>
      <c r="G14" s="4">
        <v>45313</v>
      </c>
      <c r="I14">
        <f t="shared" si="0"/>
        <v>700</v>
      </c>
    </row>
    <row r="15" spans="1:20" ht="15" thickBot="1" x14ac:dyDescent="0.35">
      <c r="A15" s="2">
        <v>1014</v>
      </c>
      <c r="B15" s="3" t="s">
        <v>40</v>
      </c>
      <c r="C15" s="3" t="s">
        <v>22</v>
      </c>
      <c r="D15" s="3" t="s">
        <v>23</v>
      </c>
      <c r="E15" s="2">
        <v>28</v>
      </c>
      <c r="F15" s="2">
        <v>10</v>
      </c>
      <c r="G15" s="4">
        <v>45314</v>
      </c>
      <c r="I15">
        <f t="shared" si="0"/>
        <v>280</v>
      </c>
      <c r="O15" s="7" t="s">
        <v>87</v>
      </c>
    </row>
    <row r="16" spans="1:20" ht="15" thickBot="1" x14ac:dyDescent="0.35">
      <c r="A16" s="2">
        <v>1015</v>
      </c>
      <c r="B16" s="3" t="s">
        <v>41</v>
      </c>
      <c r="C16" s="3" t="s">
        <v>25</v>
      </c>
      <c r="D16" s="3" t="s">
        <v>26</v>
      </c>
      <c r="E16" s="2">
        <v>12</v>
      </c>
      <c r="F16" s="2">
        <v>25</v>
      </c>
      <c r="G16" s="4">
        <v>45315</v>
      </c>
      <c r="I16">
        <f t="shared" si="0"/>
        <v>300</v>
      </c>
      <c r="O16" t="s">
        <v>88</v>
      </c>
    </row>
    <row r="17" spans="1:9" ht="29.4" thickBot="1" x14ac:dyDescent="0.35">
      <c r="A17" s="2">
        <v>1016</v>
      </c>
      <c r="B17" s="3" t="s">
        <v>42</v>
      </c>
      <c r="C17" s="3" t="s">
        <v>28</v>
      </c>
      <c r="D17" s="3" t="s">
        <v>30</v>
      </c>
      <c r="E17" s="2">
        <v>25</v>
      </c>
      <c r="F17" s="2">
        <v>5</v>
      </c>
      <c r="G17" s="4">
        <v>45317</v>
      </c>
      <c r="I17">
        <f t="shared" si="0"/>
        <v>125</v>
      </c>
    </row>
    <row r="18" spans="1:9" ht="29.4" thickBot="1" x14ac:dyDescent="0.35">
      <c r="A18" s="2">
        <v>1017</v>
      </c>
      <c r="B18" s="3" t="s">
        <v>43</v>
      </c>
      <c r="C18" s="3" t="s">
        <v>19</v>
      </c>
      <c r="D18" s="3" t="s">
        <v>33</v>
      </c>
      <c r="E18" s="2">
        <v>20</v>
      </c>
      <c r="F18" s="2">
        <v>8</v>
      </c>
      <c r="G18" s="4">
        <v>45319</v>
      </c>
      <c r="I18">
        <f t="shared" si="0"/>
        <v>160</v>
      </c>
    </row>
    <row r="19" spans="1:9" ht="29.4" thickBot="1" x14ac:dyDescent="0.35">
      <c r="A19" s="2">
        <v>1018</v>
      </c>
      <c r="B19" s="3" t="s">
        <v>44</v>
      </c>
      <c r="C19" s="3" t="s">
        <v>22</v>
      </c>
      <c r="D19" s="3" t="s">
        <v>20</v>
      </c>
      <c r="E19" s="2">
        <v>10</v>
      </c>
      <c r="F19" s="2">
        <v>50</v>
      </c>
      <c r="G19" s="4">
        <v>45320</v>
      </c>
      <c r="I19">
        <f t="shared" si="0"/>
        <v>500</v>
      </c>
    </row>
    <row r="20" spans="1:9" ht="15" thickBot="1" x14ac:dyDescent="0.35">
      <c r="A20" s="2">
        <v>1019</v>
      </c>
      <c r="B20" s="3" t="s">
        <v>45</v>
      </c>
      <c r="C20" s="3" t="s">
        <v>25</v>
      </c>
      <c r="D20" s="3" t="s">
        <v>23</v>
      </c>
      <c r="E20" s="2">
        <v>15</v>
      </c>
      <c r="F20" s="2">
        <v>10</v>
      </c>
      <c r="G20" s="4">
        <v>45321</v>
      </c>
      <c r="I20">
        <f t="shared" si="0"/>
        <v>150</v>
      </c>
    </row>
    <row r="21" spans="1:9" ht="15" thickBot="1" x14ac:dyDescent="0.35">
      <c r="A21" s="2">
        <v>1020</v>
      </c>
      <c r="B21" s="3" t="s">
        <v>46</v>
      </c>
      <c r="C21" s="3" t="s">
        <v>28</v>
      </c>
      <c r="D21" s="3" t="s">
        <v>26</v>
      </c>
      <c r="E21" s="2">
        <v>18</v>
      </c>
      <c r="F21" s="2">
        <v>25</v>
      </c>
      <c r="G21" s="4">
        <v>45323</v>
      </c>
      <c r="I21">
        <f t="shared" si="0"/>
        <v>450</v>
      </c>
    </row>
    <row r="22" spans="1:9" ht="15" thickBot="1" x14ac:dyDescent="0.35">
      <c r="A22" s="2">
        <v>1021</v>
      </c>
      <c r="B22" s="3" t="s">
        <v>47</v>
      </c>
      <c r="C22" s="3" t="s">
        <v>19</v>
      </c>
      <c r="D22" s="3" t="s">
        <v>20</v>
      </c>
      <c r="E22" s="2">
        <v>9</v>
      </c>
      <c r="F22" s="2">
        <v>50</v>
      </c>
      <c r="G22" s="4">
        <v>45324</v>
      </c>
      <c r="I22">
        <f t="shared" si="0"/>
        <v>450</v>
      </c>
    </row>
    <row r="23" spans="1:9" ht="15" thickBot="1" x14ac:dyDescent="0.35">
      <c r="A23" s="2">
        <v>1022</v>
      </c>
      <c r="B23" s="3" t="s">
        <v>48</v>
      </c>
      <c r="C23" s="3" t="s">
        <v>22</v>
      </c>
      <c r="D23" s="3" t="s">
        <v>30</v>
      </c>
      <c r="E23" s="2">
        <v>35</v>
      </c>
      <c r="F23" s="2">
        <v>5</v>
      </c>
      <c r="G23" s="4">
        <v>45325</v>
      </c>
      <c r="I23">
        <f t="shared" si="0"/>
        <v>175</v>
      </c>
    </row>
    <row r="24" spans="1:9" ht="15" thickBot="1" x14ac:dyDescent="0.35">
      <c r="A24" s="2">
        <v>1023</v>
      </c>
      <c r="B24" s="3" t="s">
        <v>49</v>
      </c>
      <c r="C24" s="3" t="s">
        <v>25</v>
      </c>
      <c r="D24" s="3" t="s">
        <v>33</v>
      </c>
      <c r="E24" s="2">
        <v>30</v>
      </c>
      <c r="F24" s="2">
        <v>8</v>
      </c>
      <c r="G24" s="4">
        <v>45326</v>
      </c>
      <c r="I24">
        <f t="shared" si="0"/>
        <v>240</v>
      </c>
    </row>
    <row r="25" spans="1:9" ht="15" thickBot="1" x14ac:dyDescent="0.35">
      <c r="A25" s="2">
        <v>1024</v>
      </c>
      <c r="B25" s="3" t="s">
        <v>50</v>
      </c>
      <c r="C25" s="3" t="s">
        <v>28</v>
      </c>
      <c r="D25" s="3" t="s">
        <v>20</v>
      </c>
      <c r="E25" s="2">
        <v>11</v>
      </c>
      <c r="F25" s="2">
        <v>50</v>
      </c>
      <c r="G25" s="4">
        <v>45328</v>
      </c>
      <c r="I25">
        <f t="shared" si="0"/>
        <v>550</v>
      </c>
    </row>
    <row r="26" spans="1:9" ht="15" thickBot="1" x14ac:dyDescent="0.35">
      <c r="A26" s="2">
        <v>1025</v>
      </c>
      <c r="B26" s="3" t="s">
        <v>51</v>
      </c>
      <c r="C26" s="3" t="s">
        <v>19</v>
      </c>
      <c r="D26" s="3" t="s">
        <v>23</v>
      </c>
      <c r="E26" s="2">
        <v>14</v>
      </c>
      <c r="F26" s="2">
        <v>10</v>
      </c>
      <c r="G26" s="4">
        <v>45329</v>
      </c>
      <c r="I26">
        <f t="shared" si="0"/>
        <v>140</v>
      </c>
    </row>
    <row r="27" spans="1:9" ht="15" thickBot="1" x14ac:dyDescent="0.35">
      <c r="A27" s="2">
        <v>1026</v>
      </c>
      <c r="B27" s="3" t="s">
        <v>52</v>
      </c>
      <c r="C27" s="3" t="s">
        <v>22</v>
      </c>
      <c r="D27" s="3" t="s">
        <v>26</v>
      </c>
      <c r="E27" s="2">
        <v>16</v>
      </c>
      <c r="F27" s="2">
        <v>25</v>
      </c>
      <c r="G27" s="4">
        <v>45330</v>
      </c>
      <c r="I27">
        <f t="shared" si="0"/>
        <v>400</v>
      </c>
    </row>
    <row r="28" spans="1:9" ht="15" thickBot="1" x14ac:dyDescent="0.35">
      <c r="A28" s="2">
        <v>1027</v>
      </c>
      <c r="B28" s="3" t="s">
        <v>53</v>
      </c>
      <c r="C28" s="3" t="s">
        <v>25</v>
      </c>
      <c r="D28" s="3" t="s">
        <v>30</v>
      </c>
      <c r="E28" s="2">
        <v>22</v>
      </c>
      <c r="F28" s="2">
        <v>5</v>
      </c>
      <c r="G28" s="4">
        <v>45331</v>
      </c>
      <c r="I28">
        <f t="shared" si="0"/>
        <v>110</v>
      </c>
    </row>
    <row r="29" spans="1:9" ht="15" thickBot="1" x14ac:dyDescent="0.35">
      <c r="A29" s="2">
        <v>1028</v>
      </c>
      <c r="B29" s="3" t="s">
        <v>54</v>
      </c>
      <c r="C29" s="3" t="s">
        <v>28</v>
      </c>
      <c r="D29" s="3" t="s">
        <v>33</v>
      </c>
      <c r="E29" s="2">
        <v>27</v>
      </c>
      <c r="F29" s="2">
        <v>8</v>
      </c>
      <c r="G29" s="4">
        <v>45332</v>
      </c>
      <c r="I29">
        <f t="shared" si="0"/>
        <v>216</v>
      </c>
    </row>
    <row r="30" spans="1:9" ht="29.4" thickBot="1" x14ac:dyDescent="0.35">
      <c r="A30" s="2">
        <v>1029</v>
      </c>
      <c r="B30" s="3" t="s">
        <v>55</v>
      </c>
      <c r="C30" s="3" t="s">
        <v>19</v>
      </c>
      <c r="D30" s="3" t="s">
        <v>20</v>
      </c>
      <c r="E30" s="2">
        <v>13</v>
      </c>
      <c r="F30" s="2">
        <v>50</v>
      </c>
      <c r="G30" s="4">
        <v>45334</v>
      </c>
      <c r="I30">
        <f t="shared" si="0"/>
        <v>650</v>
      </c>
    </row>
    <row r="31" spans="1:9" ht="15" thickBot="1" x14ac:dyDescent="0.35">
      <c r="A31" s="2">
        <v>1030</v>
      </c>
      <c r="B31" s="3" t="s">
        <v>56</v>
      </c>
      <c r="C31" s="3" t="s">
        <v>22</v>
      </c>
      <c r="D31" s="3" t="s">
        <v>23</v>
      </c>
      <c r="E31" s="2">
        <v>32</v>
      </c>
      <c r="F31" s="2">
        <v>10</v>
      </c>
      <c r="G31" s="4">
        <v>45335</v>
      </c>
      <c r="I31">
        <f t="shared" si="0"/>
        <v>320</v>
      </c>
    </row>
    <row r="32" spans="1:9" ht="15" thickBot="1" x14ac:dyDescent="0.35">
      <c r="A32" s="2">
        <v>1031</v>
      </c>
      <c r="B32" s="3" t="s">
        <v>57</v>
      </c>
      <c r="C32" s="3" t="s">
        <v>25</v>
      </c>
      <c r="D32" s="3" t="s">
        <v>26</v>
      </c>
      <c r="E32" s="2">
        <v>10</v>
      </c>
      <c r="F32" s="2">
        <v>25</v>
      </c>
      <c r="G32" s="4">
        <v>45336</v>
      </c>
      <c r="I32">
        <f t="shared" si="0"/>
        <v>250</v>
      </c>
    </row>
    <row r="33" spans="1:9" ht="15" thickBot="1" x14ac:dyDescent="0.35">
      <c r="A33" s="2">
        <v>1032</v>
      </c>
      <c r="B33" s="3" t="s">
        <v>58</v>
      </c>
      <c r="C33" s="3" t="s">
        <v>28</v>
      </c>
      <c r="D33" s="3" t="s">
        <v>30</v>
      </c>
      <c r="E33" s="2">
        <v>18</v>
      </c>
      <c r="F33" s="2">
        <v>5</v>
      </c>
      <c r="G33" s="4">
        <v>45338</v>
      </c>
      <c r="I33">
        <f t="shared" si="0"/>
        <v>90</v>
      </c>
    </row>
    <row r="34" spans="1:9" ht="29.4" thickBot="1" x14ac:dyDescent="0.35">
      <c r="A34" s="2">
        <v>1033</v>
      </c>
      <c r="B34" s="3" t="s">
        <v>59</v>
      </c>
      <c r="C34" s="3" t="s">
        <v>19</v>
      </c>
      <c r="D34" s="3" t="s">
        <v>33</v>
      </c>
      <c r="E34" s="2">
        <v>22</v>
      </c>
      <c r="F34" s="2">
        <v>8</v>
      </c>
      <c r="G34" s="4">
        <v>45339</v>
      </c>
      <c r="I34">
        <f t="shared" si="0"/>
        <v>176</v>
      </c>
    </row>
    <row r="35" spans="1:9" ht="15" thickBot="1" x14ac:dyDescent="0.35">
      <c r="A35" s="2">
        <v>1034</v>
      </c>
      <c r="B35" s="3" t="s">
        <v>60</v>
      </c>
      <c r="C35" s="3" t="s">
        <v>22</v>
      </c>
      <c r="D35" s="3" t="s">
        <v>20</v>
      </c>
      <c r="E35" s="2">
        <v>17</v>
      </c>
      <c r="F35" s="2">
        <v>50</v>
      </c>
      <c r="G35" s="4">
        <v>45340</v>
      </c>
      <c r="I35">
        <f t="shared" si="0"/>
        <v>850</v>
      </c>
    </row>
    <row r="36" spans="1:9" ht="15" thickBot="1" x14ac:dyDescent="0.35">
      <c r="A36" s="2">
        <v>1035</v>
      </c>
      <c r="B36" s="3" t="s">
        <v>61</v>
      </c>
      <c r="C36" s="3" t="s">
        <v>25</v>
      </c>
      <c r="D36" s="3" t="s">
        <v>23</v>
      </c>
      <c r="E36" s="2">
        <v>19</v>
      </c>
      <c r="F36" s="2">
        <v>10</v>
      </c>
      <c r="G36" s="4">
        <v>45341</v>
      </c>
      <c r="I36">
        <f t="shared" si="0"/>
        <v>190</v>
      </c>
    </row>
    <row r="37" spans="1:9" ht="15" thickBot="1" x14ac:dyDescent="0.35">
      <c r="A37" s="2">
        <v>1036</v>
      </c>
      <c r="B37" s="3" t="s">
        <v>62</v>
      </c>
      <c r="C37" s="3" t="s">
        <v>28</v>
      </c>
      <c r="D37" s="3" t="s">
        <v>26</v>
      </c>
      <c r="E37" s="2">
        <v>15</v>
      </c>
      <c r="F37" s="2">
        <v>25</v>
      </c>
      <c r="G37" s="4">
        <v>45343</v>
      </c>
      <c r="I37">
        <f t="shared" si="0"/>
        <v>375</v>
      </c>
    </row>
    <row r="38" spans="1:9" ht="15" thickBot="1" x14ac:dyDescent="0.35">
      <c r="A38" s="2">
        <v>1037</v>
      </c>
      <c r="B38" s="3" t="s">
        <v>63</v>
      </c>
      <c r="C38" s="3" t="s">
        <v>19</v>
      </c>
      <c r="D38" s="3" t="s">
        <v>30</v>
      </c>
      <c r="E38" s="2">
        <v>28</v>
      </c>
      <c r="F38" s="2">
        <v>5</v>
      </c>
      <c r="G38" s="4">
        <v>45344</v>
      </c>
      <c r="I38">
        <f t="shared" si="0"/>
        <v>140</v>
      </c>
    </row>
    <row r="39" spans="1:9" ht="15" thickBot="1" x14ac:dyDescent="0.35">
      <c r="A39" s="2">
        <v>1038</v>
      </c>
      <c r="B39" s="3" t="s">
        <v>64</v>
      </c>
      <c r="C39" s="3" t="s">
        <v>22</v>
      </c>
      <c r="D39" s="3" t="s">
        <v>33</v>
      </c>
      <c r="E39" s="2">
        <v>24</v>
      </c>
      <c r="F39" s="2">
        <v>8</v>
      </c>
      <c r="G39" s="4">
        <v>45345</v>
      </c>
      <c r="I39">
        <f t="shared" si="0"/>
        <v>192</v>
      </c>
    </row>
    <row r="40" spans="1:9" ht="15" thickBot="1" x14ac:dyDescent="0.35">
      <c r="A40" s="2">
        <v>1039</v>
      </c>
      <c r="B40" s="3" t="s">
        <v>65</v>
      </c>
      <c r="C40" s="3" t="s">
        <v>25</v>
      </c>
      <c r="D40" s="3" t="s">
        <v>20</v>
      </c>
      <c r="E40" s="2">
        <v>16</v>
      </c>
      <c r="F40" s="2">
        <v>50</v>
      </c>
      <c r="G40" s="4">
        <v>45347</v>
      </c>
      <c r="I40">
        <f t="shared" si="0"/>
        <v>800</v>
      </c>
    </row>
    <row r="41" spans="1:9" ht="15" thickBot="1" x14ac:dyDescent="0.35">
      <c r="A41" s="2">
        <v>1040</v>
      </c>
      <c r="B41" s="3" t="s">
        <v>66</v>
      </c>
      <c r="C41" s="3" t="s">
        <v>28</v>
      </c>
      <c r="D41" s="3" t="s">
        <v>23</v>
      </c>
      <c r="E41" s="2">
        <v>27</v>
      </c>
      <c r="F41" s="2">
        <v>10</v>
      </c>
      <c r="G41" s="4">
        <v>45348</v>
      </c>
      <c r="I41">
        <f t="shared" si="0"/>
        <v>270</v>
      </c>
    </row>
    <row r="42" spans="1:9" ht="15" thickBot="1" x14ac:dyDescent="0.35">
      <c r="A42" s="2">
        <v>1041</v>
      </c>
      <c r="B42" s="3" t="s">
        <v>67</v>
      </c>
      <c r="C42" s="3" t="s">
        <v>19</v>
      </c>
      <c r="D42" s="3" t="s">
        <v>26</v>
      </c>
      <c r="E42" s="2">
        <v>21</v>
      </c>
      <c r="F42" s="2">
        <v>25</v>
      </c>
      <c r="G42" s="4">
        <v>45349</v>
      </c>
      <c r="I42">
        <f t="shared" si="0"/>
        <v>525</v>
      </c>
    </row>
    <row r="43" spans="1:9" ht="29.4" thickBot="1" x14ac:dyDescent="0.35">
      <c r="A43" s="2">
        <v>1042</v>
      </c>
      <c r="B43" s="3" t="s">
        <v>68</v>
      </c>
      <c r="C43" s="3" t="s">
        <v>22</v>
      </c>
      <c r="D43" s="3" t="s">
        <v>30</v>
      </c>
      <c r="E43" s="2">
        <v>30</v>
      </c>
      <c r="F43" s="2">
        <v>5</v>
      </c>
      <c r="G43" s="4">
        <v>45350</v>
      </c>
      <c r="I43">
        <f t="shared" si="0"/>
        <v>150</v>
      </c>
    </row>
    <row r="44" spans="1:9" ht="15" thickBot="1" x14ac:dyDescent="0.35">
      <c r="A44" s="2">
        <v>1043</v>
      </c>
      <c r="B44" s="3" t="s">
        <v>69</v>
      </c>
      <c r="C44" s="3" t="s">
        <v>25</v>
      </c>
      <c r="D44" s="3" t="s">
        <v>33</v>
      </c>
      <c r="E44" s="2">
        <v>26</v>
      </c>
      <c r="F44" s="2">
        <v>8</v>
      </c>
      <c r="G44" s="4">
        <v>45352</v>
      </c>
      <c r="I44">
        <f t="shared" si="0"/>
        <v>208</v>
      </c>
    </row>
    <row r="45" spans="1:9" ht="15" thickBot="1" x14ac:dyDescent="0.35">
      <c r="A45" s="2">
        <v>1044</v>
      </c>
      <c r="B45" s="3" t="s">
        <v>70</v>
      </c>
      <c r="C45" s="3" t="s">
        <v>28</v>
      </c>
      <c r="D45" s="3" t="s">
        <v>20</v>
      </c>
      <c r="E45" s="2">
        <v>14</v>
      </c>
      <c r="F45" s="2">
        <v>50</v>
      </c>
      <c r="G45" s="4">
        <v>45353</v>
      </c>
      <c r="I45">
        <f t="shared" si="0"/>
        <v>700</v>
      </c>
    </row>
    <row r="46" spans="1:9" ht="15" thickBot="1" x14ac:dyDescent="0.35">
      <c r="A46" s="2">
        <v>1045</v>
      </c>
      <c r="B46" s="3" t="s">
        <v>71</v>
      </c>
      <c r="C46" s="3" t="s">
        <v>19</v>
      </c>
      <c r="D46" s="3" t="s">
        <v>23</v>
      </c>
      <c r="E46" s="2">
        <v>20</v>
      </c>
      <c r="F46" s="2">
        <v>10</v>
      </c>
      <c r="G46" s="4">
        <v>45354</v>
      </c>
      <c r="I46">
        <f t="shared" si="0"/>
        <v>200</v>
      </c>
    </row>
    <row r="47" spans="1:9" ht="15" thickBot="1" x14ac:dyDescent="0.35">
      <c r="A47" s="2">
        <v>1046</v>
      </c>
      <c r="B47" s="3" t="s">
        <v>72</v>
      </c>
      <c r="C47" s="3" t="s">
        <v>22</v>
      </c>
      <c r="D47" s="3" t="s">
        <v>26</v>
      </c>
      <c r="E47" s="2">
        <v>17</v>
      </c>
      <c r="F47" s="2">
        <v>25</v>
      </c>
      <c r="G47" s="4">
        <v>45355</v>
      </c>
      <c r="I47">
        <f t="shared" si="0"/>
        <v>425</v>
      </c>
    </row>
    <row r="48" spans="1:9" ht="15" thickBot="1" x14ac:dyDescent="0.35">
      <c r="A48" s="2">
        <v>1047</v>
      </c>
      <c r="B48" s="3" t="s">
        <v>73</v>
      </c>
      <c r="C48" s="3" t="s">
        <v>25</v>
      </c>
      <c r="D48" s="3" t="s">
        <v>30</v>
      </c>
      <c r="E48" s="2">
        <v>19</v>
      </c>
      <c r="F48" s="2">
        <v>5</v>
      </c>
      <c r="G48" s="4">
        <v>45356</v>
      </c>
      <c r="I48">
        <f t="shared" si="0"/>
        <v>95</v>
      </c>
    </row>
    <row r="49" spans="1:9" ht="15" thickBot="1" x14ac:dyDescent="0.35">
      <c r="A49" s="2">
        <v>1048</v>
      </c>
      <c r="B49" s="3" t="s">
        <v>74</v>
      </c>
      <c r="C49" s="3" t="s">
        <v>28</v>
      </c>
      <c r="D49" s="3" t="s">
        <v>33</v>
      </c>
      <c r="E49" s="2">
        <v>32</v>
      </c>
      <c r="F49" s="2">
        <v>8</v>
      </c>
      <c r="G49" s="4">
        <v>45357</v>
      </c>
      <c r="I49">
        <f t="shared" si="0"/>
        <v>256</v>
      </c>
    </row>
    <row r="50" spans="1:9" ht="15" thickBot="1" x14ac:dyDescent="0.35">
      <c r="A50" s="2">
        <v>1049</v>
      </c>
      <c r="B50" s="3" t="s">
        <v>75</v>
      </c>
      <c r="C50" s="3" t="s">
        <v>19</v>
      </c>
      <c r="D50" s="3" t="s">
        <v>20</v>
      </c>
      <c r="E50" s="2">
        <v>12</v>
      </c>
      <c r="F50" s="2">
        <v>50</v>
      </c>
      <c r="G50" s="4">
        <v>45358</v>
      </c>
      <c r="I50">
        <f t="shared" si="0"/>
        <v>600</v>
      </c>
    </row>
    <row r="51" spans="1:9" ht="29.4" thickBot="1" x14ac:dyDescent="0.35">
      <c r="A51" s="2">
        <v>1050</v>
      </c>
      <c r="B51" s="3" t="s">
        <v>76</v>
      </c>
      <c r="C51" s="3" t="s">
        <v>22</v>
      </c>
      <c r="D51" s="3" t="s">
        <v>23</v>
      </c>
      <c r="E51" s="2">
        <v>25</v>
      </c>
      <c r="F51" s="2">
        <v>10</v>
      </c>
      <c r="G51" s="4">
        <v>45359</v>
      </c>
      <c r="I51">
        <f t="shared" si="0"/>
        <v>250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641D5-6DC1-4594-8086-535807FCD6A5}">
  <dimension ref="A1:D6"/>
  <sheetViews>
    <sheetView workbookViewId="0">
      <selection activeCell="N17" sqref="N17"/>
    </sheetView>
  </sheetViews>
  <sheetFormatPr defaultRowHeight="14.4" x14ac:dyDescent="0.3"/>
  <cols>
    <col min="1" max="1" width="9.77734375" customWidth="1"/>
    <col min="2" max="2" width="5.21875" bestFit="1" customWidth="1"/>
    <col min="4" max="4" width="57.77734375" bestFit="1" customWidth="1"/>
  </cols>
  <sheetData>
    <row r="1" spans="1:4" ht="28.8" x14ac:dyDescent="0.3">
      <c r="A1" s="8" t="s">
        <v>14</v>
      </c>
      <c r="B1" s="8" t="s">
        <v>77</v>
      </c>
      <c r="D1" s="7" t="s">
        <v>98</v>
      </c>
    </row>
    <row r="2" spans="1:4" x14ac:dyDescent="0.3">
      <c r="A2" s="9" t="s">
        <v>20</v>
      </c>
      <c r="B2" s="10">
        <v>7550</v>
      </c>
    </row>
    <row r="3" spans="1:4" x14ac:dyDescent="0.3">
      <c r="A3" s="9" t="s">
        <v>23</v>
      </c>
      <c r="B3" s="10">
        <v>2180</v>
      </c>
    </row>
    <row r="4" spans="1:4" x14ac:dyDescent="0.3">
      <c r="A4" s="9" t="s">
        <v>26</v>
      </c>
      <c r="B4" s="10">
        <v>3650</v>
      </c>
    </row>
    <row r="5" spans="1:4" x14ac:dyDescent="0.3">
      <c r="A5" s="9" t="s">
        <v>30</v>
      </c>
      <c r="B5" s="10">
        <v>1235</v>
      </c>
    </row>
    <row r="6" spans="1:4" x14ac:dyDescent="0.3">
      <c r="A6" s="9" t="s">
        <v>33</v>
      </c>
      <c r="B6" s="10">
        <v>1928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 1, 2,3</vt:lpstr>
      <vt:lpstr>Question 4,5,6,8</vt:lpstr>
      <vt:lpstr>Question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</dc:creator>
  <cp:lastModifiedBy>Vicky Nagpure</cp:lastModifiedBy>
  <dcterms:created xsi:type="dcterms:W3CDTF">2025-11-29T14:05:58Z</dcterms:created>
  <dcterms:modified xsi:type="dcterms:W3CDTF">2025-12-14T03:56:17Z</dcterms:modified>
</cp:coreProperties>
</file>